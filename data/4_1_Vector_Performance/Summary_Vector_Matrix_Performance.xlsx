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bagus_hanindhito_dell_com1/Documents/Documents/MI300X_VS_MI325X/"/>
    </mc:Choice>
  </mc:AlternateContent>
  <xr:revisionPtr revIDLastSave="628" documentId="8_{8B6C2FFE-BA38-4355-B5AF-E01A2C513AEF}" xr6:coauthVersionLast="47" xr6:coauthVersionMax="47" xr10:uidLastSave="{5A85FE47-EC87-4C4F-9B07-05C602958CE1}"/>
  <bookViews>
    <workbookView xWindow="67080" yWindow="-120" windowWidth="38640" windowHeight="21120" xr2:uid="{98D9B6D0-AB32-47BB-A719-B445342383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9" i="1" l="1"/>
  <c r="Y89" i="1"/>
  <c r="X89" i="1"/>
  <c r="W89" i="1"/>
  <c r="Z88" i="1"/>
  <c r="Y88" i="1"/>
  <c r="X88" i="1"/>
  <c r="W88" i="1"/>
  <c r="U89" i="1"/>
  <c r="T89" i="1"/>
  <c r="S89" i="1"/>
  <c r="R89" i="1"/>
  <c r="U88" i="1"/>
  <c r="T88" i="1"/>
  <c r="S88" i="1"/>
  <c r="R88" i="1"/>
  <c r="P89" i="1"/>
  <c r="O89" i="1"/>
  <c r="N89" i="1"/>
  <c r="M89" i="1"/>
  <c r="P88" i="1"/>
  <c r="O88" i="1"/>
  <c r="N88" i="1"/>
  <c r="M88" i="1"/>
  <c r="F89" i="1"/>
  <c r="F88" i="1"/>
  <c r="U86" i="1"/>
  <c r="T86" i="1"/>
  <c r="S86" i="1"/>
  <c r="R86" i="1"/>
  <c r="U85" i="1"/>
  <c r="T85" i="1"/>
  <c r="S85" i="1"/>
  <c r="R85" i="1"/>
  <c r="U84" i="1"/>
  <c r="T84" i="1"/>
  <c r="S84" i="1"/>
  <c r="R84" i="1"/>
  <c r="P86" i="1"/>
  <c r="O86" i="1"/>
  <c r="N86" i="1"/>
  <c r="M86" i="1"/>
  <c r="P85" i="1"/>
  <c r="O85" i="1"/>
  <c r="N85" i="1"/>
  <c r="M85" i="1"/>
  <c r="P84" i="1"/>
  <c r="O84" i="1"/>
  <c r="N84" i="1"/>
  <c r="M84" i="1"/>
  <c r="F85" i="1"/>
  <c r="F86" i="1"/>
  <c r="F84" i="1"/>
  <c r="U83" i="1"/>
  <c r="T83" i="1"/>
  <c r="S83" i="1"/>
  <c r="R83" i="1"/>
  <c r="U82" i="1"/>
  <c r="T82" i="1"/>
  <c r="S82" i="1"/>
  <c r="R82" i="1"/>
  <c r="U81" i="1"/>
  <c r="T81" i="1"/>
  <c r="S81" i="1"/>
  <c r="R81" i="1"/>
  <c r="P83" i="1"/>
  <c r="O83" i="1"/>
  <c r="N83" i="1"/>
  <c r="P82" i="1"/>
  <c r="O82" i="1"/>
  <c r="N82" i="1"/>
  <c r="P81" i="1"/>
  <c r="O81" i="1"/>
  <c r="N81" i="1"/>
  <c r="M82" i="1"/>
  <c r="M83" i="1"/>
  <c r="M81" i="1"/>
  <c r="F82" i="1"/>
  <c r="F83" i="1"/>
  <c r="F81" i="1"/>
  <c r="Z92" i="1"/>
  <c r="Y92" i="1"/>
  <c r="X92" i="1"/>
  <c r="W92" i="1"/>
  <c r="I92" i="1"/>
  <c r="E92" i="1"/>
  <c r="K92" i="1" s="1"/>
  <c r="Z91" i="1"/>
  <c r="Y91" i="1"/>
  <c r="X91" i="1"/>
  <c r="W91" i="1"/>
  <c r="I91" i="1"/>
  <c r="E91" i="1"/>
  <c r="K91" i="1" s="1"/>
  <c r="Z90" i="1"/>
  <c r="Y90" i="1"/>
  <c r="X90" i="1"/>
  <c r="W90" i="1"/>
  <c r="I90" i="1"/>
  <c r="E90" i="1"/>
  <c r="K90" i="1" s="1"/>
  <c r="I89" i="1"/>
  <c r="E89" i="1"/>
  <c r="K89" i="1" s="1"/>
  <c r="I88" i="1"/>
  <c r="E88" i="1"/>
  <c r="K88" i="1" s="1"/>
  <c r="Z87" i="1"/>
  <c r="Y87" i="1"/>
  <c r="X87" i="1"/>
  <c r="W87" i="1"/>
  <c r="I87" i="1"/>
  <c r="E87" i="1"/>
  <c r="K87" i="1" s="1"/>
  <c r="I86" i="1"/>
  <c r="E86" i="1"/>
  <c r="K86" i="1" s="1"/>
  <c r="I85" i="1"/>
  <c r="E85" i="1"/>
  <c r="K85" i="1" s="1"/>
  <c r="I84" i="1"/>
  <c r="I83" i="1"/>
  <c r="E83" i="1"/>
  <c r="K83" i="1" s="1"/>
  <c r="I82" i="1"/>
  <c r="E82" i="1"/>
  <c r="K82" i="1" s="1"/>
  <c r="I81" i="1"/>
  <c r="Z80" i="1"/>
  <c r="Y80" i="1"/>
  <c r="X80" i="1"/>
  <c r="W80" i="1"/>
  <c r="I80" i="1"/>
  <c r="E80" i="1"/>
  <c r="K80" i="1" s="1"/>
  <c r="Z79" i="1"/>
  <c r="Y79" i="1"/>
  <c r="X79" i="1"/>
  <c r="W79" i="1"/>
  <c r="I79" i="1"/>
  <c r="E79" i="1"/>
  <c r="K79" i="1" s="1"/>
  <c r="Z78" i="1"/>
  <c r="Y78" i="1"/>
  <c r="X78" i="1"/>
  <c r="W78" i="1"/>
  <c r="I78" i="1"/>
  <c r="Z77" i="1"/>
  <c r="Y77" i="1"/>
  <c r="X77" i="1"/>
  <c r="W77" i="1"/>
  <c r="I77" i="1"/>
  <c r="E77" i="1"/>
  <c r="K77" i="1" s="1"/>
  <c r="Z76" i="1"/>
  <c r="Y76" i="1"/>
  <c r="X76" i="1"/>
  <c r="W76" i="1"/>
  <c r="I76" i="1"/>
  <c r="E76" i="1"/>
  <c r="K76" i="1" s="1"/>
  <c r="Z75" i="1"/>
  <c r="Y75" i="1"/>
  <c r="X75" i="1"/>
  <c r="W75" i="1"/>
  <c r="I75" i="1"/>
  <c r="Z74" i="1"/>
  <c r="Y74" i="1"/>
  <c r="X74" i="1"/>
  <c r="W74" i="1"/>
  <c r="I74" i="1"/>
  <c r="E74" i="1"/>
  <c r="K74" i="1" s="1"/>
  <c r="Z73" i="1"/>
  <c r="Y73" i="1"/>
  <c r="X73" i="1"/>
  <c r="W73" i="1"/>
  <c r="I73" i="1"/>
  <c r="E73" i="1"/>
  <c r="K73" i="1" s="1"/>
  <c r="Z72" i="1"/>
  <c r="Y72" i="1"/>
  <c r="X72" i="1"/>
  <c r="W72" i="1"/>
  <c r="I72" i="1"/>
  <c r="W35" i="1" l="1"/>
  <c r="Z63" i="1"/>
  <c r="Y63" i="1"/>
  <c r="X63" i="1"/>
  <c r="W63" i="1"/>
  <c r="Z62" i="1"/>
  <c r="Y62" i="1"/>
  <c r="X62" i="1"/>
  <c r="W62" i="1"/>
  <c r="Z61" i="1"/>
  <c r="Y61" i="1"/>
  <c r="X61" i="1"/>
  <c r="W61" i="1"/>
  <c r="Z60" i="1"/>
  <c r="Y60" i="1"/>
  <c r="X60" i="1"/>
  <c r="W60" i="1"/>
  <c r="Z59" i="1"/>
  <c r="Y59" i="1"/>
  <c r="X59" i="1"/>
  <c r="W59" i="1"/>
  <c r="Z58" i="1"/>
  <c r="Y58" i="1"/>
  <c r="X58" i="1"/>
  <c r="W58" i="1"/>
  <c r="Z57" i="1"/>
  <c r="Y57" i="1"/>
  <c r="X57" i="1"/>
  <c r="W57" i="1"/>
  <c r="Z56" i="1"/>
  <c r="Y56" i="1"/>
  <c r="X56" i="1"/>
  <c r="W56" i="1"/>
  <c r="E54" i="1" l="1"/>
  <c r="E55" i="1"/>
  <c r="E45" i="1"/>
  <c r="K45" i="1" s="1"/>
  <c r="E48" i="1"/>
  <c r="E46" i="1"/>
  <c r="K46" i="1" s="1"/>
  <c r="E51" i="1"/>
  <c r="K51" i="1" s="1"/>
  <c r="E52" i="1"/>
  <c r="K52" i="1" s="1"/>
  <c r="E49" i="1"/>
  <c r="K49" i="1" s="1"/>
  <c r="Z55" i="1"/>
  <c r="Y55" i="1"/>
  <c r="X55" i="1"/>
  <c r="X86" i="1" s="1"/>
  <c r="W55" i="1"/>
  <c r="Z54" i="1"/>
  <c r="Y54" i="1"/>
  <c r="X54" i="1"/>
  <c r="W54" i="1"/>
  <c r="W85" i="1" s="1"/>
  <c r="Z53" i="1"/>
  <c r="Y53" i="1"/>
  <c r="X53" i="1"/>
  <c r="W53" i="1"/>
  <c r="Z52" i="1"/>
  <c r="Y52" i="1"/>
  <c r="X52" i="1"/>
  <c r="W52" i="1"/>
  <c r="Z51" i="1"/>
  <c r="Y51" i="1"/>
  <c r="X51" i="1"/>
  <c r="W51" i="1"/>
  <c r="Z50" i="1"/>
  <c r="Y50" i="1"/>
  <c r="X50" i="1"/>
  <c r="W50" i="1"/>
  <c r="Z49" i="1"/>
  <c r="Y49" i="1"/>
  <c r="X49" i="1"/>
  <c r="W49" i="1"/>
  <c r="Z48" i="1"/>
  <c r="Y48" i="1"/>
  <c r="X48" i="1"/>
  <c r="W48" i="1"/>
  <c r="Z47" i="1"/>
  <c r="Y47" i="1"/>
  <c r="X47" i="1"/>
  <c r="W47" i="1"/>
  <c r="Z46" i="1"/>
  <c r="Y46" i="1"/>
  <c r="Y83" i="1" s="1"/>
  <c r="X46" i="1"/>
  <c r="X83" i="1" s="1"/>
  <c r="W46" i="1"/>
  <c r="W83" i="1" s="1"/>
  <c r="Z45" i="1"/>
  <c r="Z82" i="1" s="1"/>
  <c r="Y45" i="1"/>
  <c r="X45" i="1"/>
  <c r="W45" i="1"/>
  <c r="Z44" i="1"/>
  <c r="Z81" i="1" s="1"/>
  <c r="Y44" i="1"/>
  <c r="Y81" i="1" s="1"/>
  <c r="X44" i="1"/>
  <c r="X81" i="1" s="1"/>
  <c r="W44" i="1"/>
  <c r="Z43" i="1"/>
  <c r="Y43" i="1"/>
  <c r="X43" i="1"/>
  <c r="W43" i="1"/>
  <c r="Z42" i="1"/>
  <c r="Y42" i="1"/>
  <c r="X42" i="1"/>
  <c r="W42" i="1"/>
  <c r="Z41" i="1"/>
  <c r="Y41" i="1"/>
  <c r="X41" i="1"/>
  <c r="W41" i="1"/>
  <c r="Z40" i="1"/>
  <c r="Y40" i="1"/>
  <c r="X40" i="1"/>
  <c r="W40" i="1"/>
  <c r="Z39" i="1"/>
  <c r="Y39" i="1"/>
  <c r="X39" i="1"/>
  <c r="W39" i="1"/>
  <c r="Z38" i="1"/>
  <c r="Y38" i="1"/>
  <c r="X38" i="1"/>
  <c r="W38" i="1"/>
  <c r="Z37" i="1"/>
  <c r="Y37" i="1"/>
  <c r="X37" i="1"/>
  <c r="W37" i="1"/>
  <c r="Z36" i="1"/>
  <c r="Y36" i="1"/>
  <c r="X36" i="1"/>
  <c r="W36" i="1"/>
  <c r="Z35" i="1"/>
  <c r="Y35" i="1"/>
  <c r="X35" i="1"/>
  <c r="I55" i="1"/>
  <c r="K55" i="1"/>
  <c r="I54" i="1"/>
  <c r="K54" i="1"/>
  <c r="I53" i="1"/>
  <c r="I49" i="1"/>
  <c r="I48" i="1"/>
  <c r="K48" i="1"/>
  <c r="I47" i="1"/>
  <c r="I43" i="1"/>
  <c r="E43" i="1"/>
  <c r="K43" i="1" s="1"/>
  <c r="I42" i="1"/>
  <c r="E42" i="1"/>
  <c r="K42" i="1" s="1"/>
  <c r="I41" i="1"/>
  <c r="I63" i="1"/>
  <c r="E63" i="1"/>
  <c r="K63" i="1" s="1"/>
  <c r="I62" i="1"/>
  <c r="E62" i="1"/>
  <c r="K62" i="1" s="1"/>
  <c r="I61" i="1"/>
  <c r="E61" i="1"/>
  <c r="K61" i="1" s="1"/>
  <c r="I60" i="1"/>
  <c r="E60" i="1"/>
  <c r="K60" i="1" s="1"/>
  <c r="I59" i="1"/>
  <c r="E59" i="1"/>
  <c r="K59" i="1" s="1"/>
  <c r="I58" i="1"/>
  <c r="E58" i="1"/>
  <c r="K58" i="1" s="1"/>
  <c r="I57" i="1"/>
  <c r="E57" i="1"/>
  <c r="K57" i="1" s="1"/>
  <c r="I56" i="1"/>
  <c r="E56" i="1"/>
  <c r="K56" i="1" s="1"/>
  <c r="I52" i="1"/>
  <c r="I51" i="1"/>
  <c r="I50" i="1"/>
  <c r="I46" i="1"/>
  <c r="I45" i="1"/>
  <c r="I44" i="1"/>
  <c r="I40" i="1"/>
  <c r="E40" i="1"/>
  <c r="K40" i="1" s="1"/>
  <c r="I39" i="1"/>
  <c r="E39" i="1"/>
  <c r="K39" i="1" s="1"/>
  <c r="I38" i="1"/>
  <c r="I37" i="1"/>
  <c r="E37" i="1"/>
  <c r="K37" i="1" s="1"/>
  <c r="I36" i="1"/>
  <c r="E36" i="1"/>
  <c r="K36" i="1" s="1"/>
  <c r="I35" i="1"/>
  <c r="U15" i="1"/>
  <c r="U14" i="1"/>
  <c r="U13" i="1"/>
  <c r="U12" i="1"/>
  <c r="U11" i="1"/>
  <c r="U10" i="1"/>
  <c r="U9" i="1"/>
  <c r="U8" i="1"/>
  <c r="U7" i="1"/>
  <c r="U6" i="1"/>
  <c r="U5" i="1"/>
  <c r="U4" i="1"/>
  <c r="Y15" i="1"/>
  <c r="Y14" i="1"/>
  <c r="Y13" i="1"/>
  <c r="Y12" i="1"/>
  <c r="Y11" i="1"/>
  <c r="Y10" i="1"/>
  <c r="Y9" i="1"/>
  <c r="Y8" i="1"/>
  <c r="Y7" i="1"/>
  <c r="Y6" i="1"/>
  <c r="Y5" i="1"/>
  <c r="Y4" i="1"/>
  <c r="X15" i="1"/>
  <c r="X14" i="1"/>
  <c r="X13" i="1"/>
  <c r="X12" i="1"/>
  <c r="X11" i="1"/>
  <c r="X10" i="1"/>
  <c r="X9" i="1"/>
  <c r="X8" i="1"/>
  <c r="X7" i="1"/>
  <c r="X6" i="1"/>
  <c r="X5" i="1"/>
  <c r="X4" i="1"/>
  <c r="P4" i="1"/>
  <c r="P5" i="1"/>
  <c r="P6" i="1"/>
  <c r="P9" i="1"/>
  <c r="P8" i="1"/>
  <c r="P7" i="1"/>
  <c r="P12" i="1"/>
  <c r="P11" i="1"/>
  <c r="P10" i="1"/>
  <c r="P15" i="1"/>
  <c r="P14" i="1"/>
  <c r="P13" i="1"/>
  <c r="R6" i="1"/>
  <c r="R5" i="1"/>
  <c r="R4" i="1"/>
  <c r="R9" i="1"/>
  <c r="R8" i="1"/>
  <c r="R7" i="1"/>
  <c r="R12" i="1"/>
  <c r="R11" i="1"/>
  <c r="R10" i="1"/>
  <c r="R15" i="1"/>
  <c r="R14" i="1"/>
  <c r="R13" i="1"/>
  <c r="W13" i="1" s="1"/>
  <c r="M6" i="1"/>
  <c r="M5" i="1"/>
  <c r="M4" i="1"/>
  <c r="M9" i="1"/>
  <c r="M8" i="1"/>
  <c r="M7" i="1"/>
  <c r="M12" i="1"/>
  <c r="M11" i="1"/>
  <c r="M10" i="1"/>
  <c r="M15" i="1"/>
  <c r="M14" i="1"/>
  <c r="M13" i="1"/>
  <c r="W15" i="1" l="1"/>
  <c r="Z86" i="1"/>
  <c r="W82" i="1"/>
  <c r="X82" i="1"/>
  <c r="Z83" i="1"/>
  <c r="W10" i="1"/>
  <c r="W84" i="1"/>
  <c r="X84" i="1"/>
  <c r="Y84" i="1"/>
  <c r="Z84" i="1"/>
  <c r="X85" i="1"/>
  <c r="Y85" i="1"/>
  <c r="Z85" i="1"/>
  <c r="W81" i="1"/>
  <c r="W86" i="1"/>
  <c r="Y86" i="1"/>
  <c r="Z10" i="1"/>
  <c r="Y82" i="1"/>
  <c r="W11" i="1"/>
  <c r="W12" i="1"/>
  <c r="Z4" i="1"/>
  <c r="W7" i="1"/>
  <c r="Z5" i="1"/>
  <c r="W8" i="1"/>
  <c r="W9" i="1"/>
  <c r="W4" i="1"/>
  <c r="W14" i="1"/>
  <c r="W6" i="1"/>
  <c r="Z12" i="1"/>
  <c r="Z8" i="1"/>
  <c r="W5" i="1"/>
  <c r="Z6" i="1"/>
  <c r="Z11" i="1"/>
  <c r="Z7" i="1"/>
  <c r="Z9" i="1"/>
  <c r="Z15" i="1"/>
  <c r="Z13" i="1"/>
  <c r="Z14" i="1"/>
  <c r="I16" i="1" l="1"/>
  <c r="I23" i="1"/>
  <c r="I22" i="1"/>
  <c r="I21" i="1"/>
  <c r="I20" i="1"/>
  <c r="I19" i="1"/>
  <c r="I17" i="1"/>
  <c r="I18" i="1"/>
  <c r="I15" i="1"/>
  <c r="I14" i="1"/>
  <c r="I13" i="1"/>
  <c r="I12" i="1"/>
  <c r="I11" i="1"/>
  <c r="I10" i="1"/>
  <c r="I6" i="1"/>
  <c r="I5" i="1"/>
  <c r="I7" i="1"/>
  <c r="I8" i="1"/>
  <c r="I9" i="1"/>
  <c r="I4" i="1"/>
  <c r="E22" i="1" l="1"/>
  <c r="K22" i="1" s="1"/>
  <c r="E23" i="1"/>
  <c r="K23" i="1" s="1"/>
  <c r="E16" i="1"/>
  <c r="K16" i="1" s="1"/>
  <c r="E21" i="1"/>
  <c r="K21" i="1" s="1"/>
  <c r="E20" i="1"/>
  <c r="K20" i="1" s="1"/>
  <c r="E19" i="1"/>
  <c r="K19" i="1" s="1"/>
  <c r="E18" i="1"/>
  <c r="K18" i="1" s="1"/>
  <c r="E17" i="1"/>
  <c r="K17" i="1" s="1"/>
  <c r="E15" i="1" l="1"/>
  <c r="K15" i="1" s="1"/>
  <c r="E6" i="1"/>
  <c r="K6" i="1" s="1"/>
  <c r="E5" i="1"/>
  <c r="K5" i="1" s="1"/>
  <c r="E9" i="1"/>
  <c r="K9" i="1" s="1"/>
  <c r="E8" i="1"/>
  <c r="K8" i="1" s="1"/>
  <c r="E12" i="1"/>
  <c r="K12" i="1" s="1"/>
  <c r="E11" i="1"/>
  <c r="K11" i="1" s="1"/>
  <c r="E14" i="1"/>
  <c r="K14" i="1" s="1"/>
</calcChain>
</file>

<file path=xl/sharedStrings.xml><?xml version="1.0" encoding="utf-8"?>
<sst xmlns="http://schemas.openxmlformats.org/spreadsheetml/2006/main" count="197" uniqueCount="46">
  <si>
    <t>Operation</t>
  </si>
  <si>
    <t>Precision</t>
  </si>
  <si>
    <t>FP16</t>
  </si>
  <si>
    <t>FP32</t>
  </si>
  <si>
    <t>FP64</t>
  </si>
  <si>
    <t>Theoretical</t>
  </si>
  <si>
    <t>Achieved</t>
  </si>
  <si>
    <t>fma3</t>
  </si>
  <si>
    <t>fma2
fma1</t>
  </si>
  <si>
    <t>add2
mul2</t>
  </si>
  <si>
    <t>add1
mul1</t>
  </si>
  <si>
    <t>GFLOP/s</t>
  </si>
  <si>
    <t>N/A</t>
  </si>
  <si>
    <t>MI300X</t>
  </si>
  <si>
    <t>CDNA3 Compute Unit (CU)</t>
  </si>
  <si>
    <t>Avg. Power</t>
  </si>
  <si>
    <t>TFLOP/s Theoretical (304 CUs)</t>
  </si>
  <si>
    <t>TFLOP/s Achieved</t>
  </si>
  <si>
    <t>MI325X</t>
  </si>
  <si>
    <t>Avg. Freq.</t>
  </si>
  <si>
    <t>wmma</t>
  </si>
  <si>
    <t>FP8</t>
  </si>
  <si>
    <t>BF8</t>
  </si>
  <si>
    <t>BF16</t>
  </si>
  <si>
    <t>TF32</t>
  </si>
  <si>
    <t>INT8</t>
  </si>
  <si>
    <t>Cycle per Wavefront</t>
  </si>
  <si>
    <r>
      <rPr>
        <b/>
        <sz val="11"/>
        <color theme="1"/>
        <rFont val="Aptos Narrow"/>
        <family val="2"/>
        <scheme val="minor"/>
      </rPr>
      <t>add2</t>
    </r>
    <r>
      <rPr>
        <sz val="11"/>
        <color theme="1"/>
        <rFont val="Aptos Narrow"/>
        <family val="2"/>
        <scheme val="minor"/>
      </rPr>
      <t xml:space="preserve">
mul2</t>
    </r>
  </si>
  <si>
    <t>Max. Active Wavefront</t>
  </si>
  <si>
    <t>FLOP/Cycle</t>
  </si>
  <si>
    <t>Avg. Power (W)</t>
  </si>
  <si>
    <t>Energy per FLOP (pJ)</t>
  </si>
  <si>
    <t>MI325X Advantage</t>
  </si>
  <si>
    <t>Throughput</t>
  </si>
  <si>
    <t>Frequency</t>
  </si>
  <si>
    <t>Power</t>
  </si>
  <si>
    <t>fma1</t>
  </si>
  <si>
    <t>fma2</t>
  </si>
  <si>
    <t>add2</t>
  </si>
  <si>
    <t>mul2</t>
  </si>
  <si>
    <t>add1</t>
  </si>
  <si>
    <t>mul1</t>
  </si>
  <si>
    <t>Theoretical
TFLOP/s (304 CUs)</t>
  </si>
  <si>
    <t>Paper</t>
  </si>
  <si>
    <t>B/FP8</t>
  </si>
  <si>
    <t>B/FP16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</si>
</sst>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E8E1-DC90-41CA-B74C-1DF70B5DCBB2}">
  <dimension ref="A1:AB92"/>
  <sheetViews>
    <sheetView tabSelected="1" topLeftCell="A49" workbookViewId="0">
      <selection activeCell="A89" sqref="A89"/>
    </sheetView>
  </sheetViews>
  <sheetFormatPr defaultRowHeight="15" x14ac:dyDescent="0.25"/>
  <cols>
    <col min="2" max="2" width="9.85546875" bestFit="1" customWidth="1"/>
    <col min="3" max="3" width="9.28515625" bestFit="1" customWidth="1"/>
    <col min="4" max="4" width="2.7109375" customWidth="1"/>
    <col min="5" max="5" width="10.85546875" bestFit="1" customWidth="1"/>
    <col min="7" max="7" width="9.85546875" bestFit="1" customWidth="1"/>
    <col min="8" max="9" width="10.85546875" customWidth="1"/>
    <col min="10" max="10" width="2.7109375" customWidth="1"/>
    <col min="11" max="11" width="10.7109375" customWidth="1"/>
    <col min="12" max="12" width="2.7109375" customWidth="1"/>
    <col min="13" max="13" width="8.7109375" customWidth="1"/>
    <col min="14" max="14" width="10.140625" customWidth="1"/>
    <col min="15" max="15" width="8.140625" customWidth="1"/>
    <col min="16" max="16" width="8.42578125" customWidth="1"/>
    <col min="17" max="17" width="2.7109375" customWidth="1"/>
    <col min="22" max="22" width="2.7109375" customWidth="1"/>
    <col min="23" max="23" width="11.140625" bestFit="1" customWidth="1"/>
    <col min="24" max="24" width="10" bestFit="1" customWidth="1"/>
  </cols>
  <sheetData>
    <row r="1" spans="1:26" x14ac:dyDescent="0.25">
      <c r="E1" s="2" t="s">
        <v>14</v>
      </c>
      <c r="F1" s="2"/>
      <c r="G1" s="2"/>
      <c r="H1" s="2"/>
      <c r="I1" s="1"/>
      <c r="J1" s="6"/>
      <c r="K1" s="3" t="s">
        <v>16</v>
      </c>
      <c r="L1" s="7"/>
      <c r="M1" s="2" t="s">
        <v>13</v>
      </c>
      <c r="N1" s="2"/>
      <c r="O1" s="2"/>
      <c r="P1" s="2"/>
      <c r="Q1" s="6"/>
      <c r="R1" s="2" t="s">
        <v>18</v>
      </c>
      <c r="S1" s="2"/>
      <c r="T1" s="2"/>
      <c r="U1" s="2"/>
      <c r="W1" s="2" t="s">
        <v>32</v>
      </c>
      <c r="X1" s="2"/>
      <c r="Y1" s="2"/>
      <c r="Z1" s="2"/>
    </row>
    <row r="2" spans="1:26" ht="15" customHeight="1" x14ac:dyDescent="0.25">
      <c r="B2" t="s">
        <v>0</v>
      </c>
      <c r="C2" t="s">
        <v>1</v>
      </c>
      <c r="E2" s="2" t="s">
        <v>11</v>
      </c>
      <c r="F2" s="2"/>
      <c r="G2" s="3" t="s">
        <v>26</v>
      </c>
      <c r="H2" s="5" t="s">
        <v>28</v>
      </c>
      <c r="I2" s="5" t="s">
        <v>29</v>
      </c>
      <c r="K2" s="3"/>
      <c r="L2" s="7"/>
      <c r="M2" s="5" t="s">
        <v>17</v>
      </c>
      <c r="N2" s="5" t="s">
        <v>19</v>
      </c>
      <c r="O2" s="5" t="s">
        <v>30</v>
      </c>
      <c r="P2" s="5" t="s">
        <v>31</v>
      </c>
      <c r="Q2" s="1"/>
      <c r="R2" s="5" t="s">
        <v>17</v>
      </c>
      <c r="S2" s="5" t="s">
        <v>19</v>
      </c>
      <c r="T2" s="5" t="s">
        <v>15</v>
      </c>
      <c r="U2" s="5" t="s">
        <v>31</v>
      </c>
      <c r="W2" s="4" t="s">
        <v>33</v>
      </c>
      <c r="X2" s="3" t="s">
        <v>34</v>
      </c>
      <c r="Y2" s="2" t="s">
        <v>35</v>
      </c>
      <c r="Z2" s="5" t="s">
        <v>31</v>
      </c>
    </row>
    <row r="3" spans="1:26" x14ac:dyDescent="0.25">
      <c r="E3" s="1" t="s">
        <v>5</v>
      </c>
      <c r="F3" s="1" t="s">
        <v>6</v>
      </c>
      <c r="G3" s="3"/>
      <c r="H3" s="5"/>
      <c r="I3" s="5"/>
      <c r="K3" s="3"/>
      <c r="L3" s="7"/>
      <c r="M3" s="5"/>
      <c r="N3" s="5"/>
      <c r="O3" s="5"/>
      <c r="P3" s="5"/>
      <c r="Q3" s="1"/>
      <c r="R3" s="5"/>
      <c r="S3" s="5"/>
      <c r="T3" s="5"/>
      <c r="U3" s="5"/>
      <c r="W3" s="4"/>
      <c r="X3" s="3"/>
      <c r="Y3" s="2"/>
      <c r="Z3" s="5"/>
    </row>
    <row r="4" spans="1:26" x14ac:dyDescent="0.25">
      <c r="A4" s="2"/>
      <c r="B4" s="4" t="s">
        <v>7</v>
      </c>
      <c r="C4" s="1" t="s">
        <v>2</v>
      </c>
      <c r="D4" s="1"/>
      <c r="E4" s="1" t="s">
        <v>12</v>
      </c>
      <c r="F4" s="1">
        <v>134</v>
      </c>
      <c r="G4" s="1">
        <v>8</v>
      </c>
      <c r="H4" s="1">
        <v>4</v>
      </c>
      <c r="I4" s="1">
        <f>(2*64*H4)/G4</f>
        <v>64</v>
      </c>
      <c r="K4" s="9" t="s">
        <v>12</v>
      </c>
      <c r="L4" s="1"/>
      <c r="M4" s="8">
        <f>39568.8/1000</f>
        <v>39.568800000000003</v>
      </c>
      <c r="N4" s="8">
        <v>2056.9326923076924</v>
      </c>
      <c r="O4" s="8">
        <v>590.76923076923072</v>
      </c>
      <c r="P4" s="8">
        <f>1.49301766523496E-11*1000*1000*1000*1000</f>
        <v>14.9301766523496</v>
      </c>
      <c r="R4" s="8">
        <f>39643.4/1000</f>
        <v>39.6434</v>
      </c>
      <c r="S4" s="8">
        <v>2058.75</v>
      </c>
      <c r="T4" s="8">
        <v>639.78571428571433</v>
      </c>
      <c r="U4" s="8">
        <f>1.61385085732918E-11*1000*1000*1000*1000</f>
        <v>16.138508573291801</v>
      </c>
      <c r="W4" s="8">
        <f>(R4-M4)/M4*100</f>
        <v>0.18853237904610873</v>
      </c>
      <c r="X4" s="8">
        <f>(S4-N4)/N4*100</f>
        <v>8.8350372333708571E-2</v>
      </c>
      <c r="Y4" s="8">
        <f>(T4-O4)/O4*100</f>
        <v>8.2970610119047805</v>
      </c>
      <c r="Z4" s="8">
        <f>(U4-P4)/P4*100</f>
        <v>8.0932191833915361</v>
      </c>
    </row>
    <row r="5" spans="1:26" x14ac:dyDescent="0.25">
      <c r="A5" s="2"/>
      <c r="B5" s="4"/>
      <c r="C5" s="1" t="s">
        <v>3</v>
      </c>
      <c r="D5" s="1"/>
      <c r="E5" s="1">
        <f>256*2.1</f>
        <v>537.6</v>
      </c>
      <c r="F5" s="1">
        <v>534</v>
      </c>
      <c r="G5" s="1">
        <v>4</v>
      </c>
      <c r="H5" s="1">
        <v>8</v>
      </c>
      <c r="I5" s="1">
        <f t="shared" ref="I5:I9" si="0">(2*64*H5)/G5</f>
        <v>256</v>
      </c>
      <c r="K5" s="9">
        <f>E5*304/1000</f>
        <v>163.43039999999999</v>
      </c>
      <c r="M5" s="8">
        <f>140132/1000</f>
        <v>140.13200000000001</v>
      </c>
      <c r="N5" s="8">
        <v>1831.7916666666667</v>
      </c>
      <c r="O5" s="8">
        <v>749.66666666666663</v>
      </c>
      <c r="P5" s="8">
        <f>5.34971339523812E-12*1000*1000*1000*1000</f>
        <v>5.3497133952381191</v>
      </c>
      <c r="R5" s="8">
        <f>153950/1000</f>
        <v>153.94999999999999</v>
      </c>
      <c r="S5" s="8">
        <v>2015.875</v>
      </c>
      <c r="T5" s="8">
        <v>923.5</v>
      </c>
      <c r="U5" s="8">
        <f>5.99871624654282E-12*1000*1000*1000*1000</f>
        <v>5.9987162465428199</v>
      </c>
      <c r="W5" s="8">
        <f t="shared" ref="W5:Z15" si="1">(R5-M5)/M5*100</f>
        <v>9.8607027659635076</v>
      </c>
      <c r="X5" s="8">
        <f t="shared" si="1"/>
        <v>10.049359688829238</v>
      </c>
      <c r="Y5" s="8">
        <f t="shared" si="1"/>
        <v>23.188083592707876</v>
      </c>
      <c r="Z5" s="8">
        <f t="shared" si="1"/>
        <v>12.131544315671015</v>
      </c>
    </row>
    <row r="6" spans="1:26" x14ac:dyDescent="0.25">
      <c r="A6" s="2"/>
      <c r="B6" s="4"/>
      <c r="C6" s="1" t="s">
        <v>4</v>
      </c>
      <c r="D6" s="1"/>
      <c r="E6" s="1">
        <f>128*2.1</f>
        <v>268.8</v>
      </c>
      <c r="F6" s="1">
        <v>255</v>
      </c>
      <c r="G6" s="1">
        <v>5</v>
      </c>
      <c r="H6" s="1">
        <v>4</v>
      </c>
      <c r="I6" s="1">
        <f>(2*64*H6)/G6</f>
        <v>102.4</v>
      </c>
      <c r="K6" s="9">
        <f>E6*304/1000</f>
        <v>81.715199999999996</v>
      </c>
      <c r="M6" s="8">
        <f>69975.3/1000</f>
        <v>69.975300000000004</v>
      </c>
      <c r="N6" s="8">
        <v>1909.6071428571429</v>
      </c>
      <c r="O6" s="8">
        <v>745.71428571428567</v>
      </c>
      <c r="P6" s="8">
        <f>1.06568161573479E-11*1000*1000*1000*1000</f>
        <v>10.656816157347899</v>
      </c>
      <c r="R6" s="8">
        <f>74041.9/1000</f>
        <v>74.041899999999998</v>
      </c>
      <c r="S6" s="8">
        <v>2026.109375</v>
      </c>
      <c r="T6" s="8">
        <v>858.125</v>
      </c>
      <c r="U6" s="8">
        <f>1.15897175646003E-11*1000*1000*1000*1000</f>
        <v>11.589717564600299</v>
      </c>
      <c r="W6" s="8">
        <f t="shared" si="1"/>
        <v>5.8114791933725094</v>
      </c>
      <c r="X6" s="8">
        <f t="shared" si="1"/>
        <v>6.1008481550057025</v>
      </c>
      <c r="Y6" s="8">
        <f t="shared" si="1"/>
        <v>15.074233716475103</v>
      </c>
      <c r="Z6" s="8">
        <f t="shared" si="1"/>
        <v>8.7540349151013768</v>
      </c>
    </row>
    <row r="7" spans="1:26" x14ac:dyDescent="0.25">
      <c r="A7" s="2"/>
      <c r="B7" s="5" t="s">
        <v>8</v>
      </c>
      <c r="C7" s="1" t="s">
        <v>2</v>
      </c>
      <c r="D7" s="1"/>
      <c r="E7" s="1" t="s">
        <v>12</v>
      </c>
      <c r="F7" s="1">
        <v>134</v>
      </c>
      <c r="G7" s="1">
        <v>8</v>
      </c>
      <c r="H7" s="1">
        <v>4</v>
      </c>
      <c r="I7" s="1">
        <f t="shared" si="0"/>
        <v>64</v>
      </c>
      <c r="K7" s="9" t="s">
        <v>12</v>
      </c>
      <c r="L7" s="1"/>
      <c r="M7" s="8">
        <f>39785.9/1000</f>
        <v>39.785899999999998</v>
      </c>
      <c r="N7" s="8">
        <v>2062.7980769230771</v>
      </c>
      <c r="O7" s="8">
        <v>551.76923076923072</v>
      </c>
      <c r="P7" s="8">
        <f>1.38684516502364E-11*1000*1000*1000*1000</f>
        <v>13.8684516502364</v>
      </c>
      <c r="R7" s="8">
        <f>39819.5/1000</f>
        <v>39.819499999999998</v>
      </c>
      <c r="S7" s="8">
        <v>2064.75</v>
      </c>
      <c r="T7" s="8">
        <v>572.92857142857144</v>
      </c>
      <c r="U7" s="8">
        <f>1.43881115463032E-11*1000*1000*1000*1000</f>
        <v>14.388111546303199</v>
      </c>
      <c r="W7" s="8">
        <f t="shared" si="1"/>
        <v>8.4452029487833272E-2</v>
      </c>
      <c r="X7" s="8">
        <f t="shared" si="1"/>
        <v>9.4625019227980167E-2</v>
      </c>
      <c r="Y7" s="8">
        <f t="shared" si="1"/>
        <v>3.834817071956357</v>
      </c>
      <c r="Z7" s="8">
        <f t="shared" si="1"/>
        <v>3.7470649873011621</v>
      </c>
    </row>
    <row r="8" spans="1:26" x14ac:dyDescent="0.25">
      <c r="A8" s="2"/>
      <c r="B8" s="4"/>
      <c r="C8" s="1" t="s">
        <v>3</v>
      </c>
      <c r="D8" s="1"/>
      <c r="E8" s="1">
        <f>256*2.1</f>
        <v>537.6</v>
      </c>
      <c r="F8" s="1">
        <v>267</v>
      </c>
      <c r="G8" s="1">
        <v>4</v>
      </c>
      <c r="H8" s="1">
        <v>4</v>
      </c>
      <c r="I8" s="1">
        <f t="shared" si="0"/>
        <v>128</v>
      </c>
      <c r="K8" s="9">
        <f>E8*304/1000</f>
        <v>163.43039999999999</v>
      </c>
      <c r="M8" s="8">
        <f>79665.2/1000</f>
        <v>79.665199999999999</v>
      </c>
      <c r="N8" s="8">
        <v>2064.3541666666665</v>
      </c>
      <c r="O8" s="8">
        <v>532.83333333333337</v>
      </c>
      <c r="P8" s="8">
        <f>6.68841051658108E-12*1000*1000*1000*1000</f>
        <v>6.6884105165810803</v>
      </c>
      <c r="R8" s="8">
        <f>79711.7/1000</f>
        <v>79.711699999999993</v>
      </c>
      <c r="S8" s="8">
        <v>2067.1428571428573</v>
      </c>
      <c r="T8" s="8">
        <v>560.28571428571433</v>
      </c>
      <c r="U8" s="8">
        <f>7.02890077663914E-12*1000*1000*1000*1000</f>
        <v>7.0289007766391398</v>
      </c>
      <c r="W8" s="8">
        <f t="shared" si="1"/>
        <v>5.8369275417616044E-2</v>
      </c>
      <c r="X8" s="8">
        <f t="shared" si="1"/>
        <v>0.13508779264818443</v>
      </c>
      <c r="Y8" s="8">
        <f t="shared" si="1"/>
        <v>5.1521515706689325</v>
      </c>
      <c r="Z8" s="8">
        <f t="shared" si="1"/>
        <v>5.090750025195943</v>
      </c>
    </row>
    <row r="9" spans="1:26" x14ac:dyDescent="0.25">
      <c r="A9" s="2"/>
      <c r="B9" s="4"/>
      <c r="C9" s="1" t="s">
        <v>4</v>
      </c>
      <c r="D9" s="1"/>
      <c r="E9" s="1">
        <f>128*2.1</f>
        <v>268.8</v>
      </c>
      <c r="F9" s="1">
        <v>267</v>
      </c>
      <c r="G9" s="1">
        <v>4</v>
      </c>
      <c r="H9" s="1">
        <v>4</v>
      </c>
      <c r="I9" s="1">
        <f t="shared" si="0"/>
        <v>128</v>
      </c>
      <c r="K9" s="9">
        <f>E9*304/1000</f>
        <v>81.715199999999996</v>
      </c>
      <c r="M9" s="8">
        <f>79491.1/1000</f>
        <v>79.491100000000003</v>
      </c>
      <c r="N9" s="8">
        <v>2063.6428571428573</v>
      </c>
      <c r="O9" s="8">
        <v>543.42857142857144</v>
      </c>
      <c r="P9" s="8">
        <f>6.83634881115586E-12*1000*1000*1000*1000</f>
        <v>6.8363488111558599</v>
      </c>
      <c r="R9" s="8">
        <f>79605.7/1000</f>
        <v>79.605699999999999</v>
      </c>
      <c r="S9" s="8">
        <v>2065.2142857142858</v>
      </c>
      <c r="T9" s="8">
        <v>580.14285714285711</v>
      </c>
      <c r="U9" s="8">
        <f>7.28769767567113E-12*1000*1000*1000*1000</f>
        <v>7.2876976756711311</v>
      </c>
      <c r="W9" s="8">
        <f t="shared" si="1"/>
        <v>0.14416708285581128</v>
      </c>
      <c r="X9" s="8">
        <f t="shared" si="1"/>
        <v>7.614828147173229E-2</v>
      </c>
      <c r="Y9" s="8">
        <f t="shared" si="1"/>
        <v>6.7560462670872674</v>
      </c>
      <c r="Z9" s="8">
        <f t="shared" si="1"/>
        <v>6.6021918568394273</v>
      </c>
    </row>
    <row r="10" spans="1:26" x14ac:dyDescent="0.25">
      <c r="A10" s="2"/>
      <c r="B10" s="5" t="s">
        <v>27</v>
      </c>
      <c r="C10" s="1" t="s">
        <v>2</v>
      </c>
      <c r="D10" s="1"/>
      <c r="E10" s="1" t="s">
        <v>12</v>
      </c>
      <c r="F10" s="1">
        <v>267</v>
      </c>
      <c r="G10" s="1">
        <v>4</v>
      </c>
      <c r="H10" s="1">
        <v>8</v>
      </c>
      <c r="I10" s="1">
        <f>(1*64*H10)/G10</f>
        <v>128</v>
      </c>
      <c r="K10" s="9" t="s">
        <v>12</v>
      </c>
      <c r="L10" s="1"/>
      <c r="M10" s="8">
        <f>76965.7/1000</f>
        <v>76.965699999999998</v>
      </c>
      <c r="N10" s="8">
        <v>2007.0416666666667</v>
      </c>
      <c r="O10" s="8">
        <v>748.66666666666663</v>
      </c>
      <c r="P10" s="8">
        <f>9.72726878133376E-12*1000*1000*1000*1000</f>
        <v>9.7272687813337608</v>
      </c>
      <c r="R10" s="8">
        <f>78153.9/1000</f>
        <v>78.153899999999993</v>
      </c>
      <c r="S10" s="8">
        <v>2036.71875</v>
      </c>
      <c r="T10" s="8">
        <v>797</v>
      </c>
      <c r="U10" s="8">
        <f>1.01978334417876E-11*1000*1000*1000*1000</f>
        <v>10.1978334417876</v>
      </c>
      <c r="W10" s="8">
        <f t="shared" si="1"/>
        <v>1.543804577883388</v>
      </c>
      <c r="X10" s="8">
        <f t="shared" si="1"/>
        <v>1.4786480931719532</v>
      </c>
      <c r="Y10" s="8">
        <f t="shared" si="1"/>
        <v>6.4559216384683937</v>
      </c>
      <c r="Z10" s="8">
        <f t="shared" si="1"/>
        <v>4.8375825838886399</v>
      </c>
    </row>
    <row r="11" spans="1:26" x14ac:dyDescent="0.25">
      <c r="A11" s="2"/>
      <c r="B11" s="4"/>
      <c r="C11" s="1" t="s">
        <v>3</v>
      </c>
      <c r="D11" s="1"/>
      <c r="E11" s="1">
        <f>256*2.1</f>
        <v>537.6</v>
      </c>
      <c r="F11" s="1">
        <v>267</v>
      </c>
      <c r="G11" s="1">
        <v>4</v>
      </c>
      <c r="H11" s="1">
        <v>8</v>
      </c>
      <c r="I11" s="1">
        <f>(1*64*H11)/G11</f>
        <v>128</v>
      </c>
      <c r="K11" s="9">
        <f>E11*304/1000</f>
        <v>163.43039999999999</v>
      </c>
      <c r="M11" s="8">
        <f>75551.9/1000</f>
        <v>75.551899999999989</v>
      </c>
      <c r="N11" s="8">
        <v>1973.875</v>
      </c>
      <c r="O11" s="8">
        <v>750</v>
      </c>
      <c r="P11" s="8">
        <f>9.92694768492105E-12*1000*1000*1000*1000</f>
        <v>9.9269476849210481</v>
      </c>
      <c r="R11" s="8">
        <f>78030.5/1000</f>
        <v>78.030500000000004</v>
      </c>
      <c r="S11" s="8">
        <v>2034</v>
      </c>
      <c r="T11" s="8">
        <v>811.25</v>
      </c>
      <c r="U11" s="8">
        <f>1.03965730527546E-11*1000*1000*1000*1000</f>
        <v>10.396573052754601</v>
      </c>
      <c r="W11" s="8">
        <f t="shared" si="1"/>
        <v>3.2806587259883799</v>
      </c>
      <c r="X11" s="8">
        <f t="shared" si="1"/>
        <v>3.0460388829079856</v>
      </c>
      <c r="Y11" s="8">
        <f t="shared" si="1"/>
        <v>8.1666666666666661</v>
      </c>
      <c r="Z11" s="8">
        <f t="shared" si="1"/>
        <v>4.730813365188876</v>
      </c>
    </row>
    <row r="12" spans="1:26" x14ac:dyDescent="0.25">
      <c r="A12" s="2"/>
      <c r="B12" s="4"/>
      <c r="C12" s="1" t="s">
        <v>4</v>
      </c>
      <c r="D12" s="1"/>
      <c r="E12" s="1">
        <f>128*2.1</f>
        <v>268.8</v>
      </c>
      <c r="F12" s="1">
        <v>214</v>
      </c>
      <c r="G12" s="1">
        <v>5</v>
      </c>
      <c r="H12" s="1">
        <v>8</v>
      </c>
      <c r="I12" s="1">
        <f>(1*64*H12)/G12</f>
        <v>102.4</v>
      </c>
      <c r="K12" s="9">
        <f>E12*304/1000</f>
        <v>81.715199999999996</v>
      </c>
      <c r="M12" s="8">
        <f>54051.1/1000</f>
        <v>54.051099999999998</v>
      </c>
      <c r="N12" s="8">
        <v>1770.375</v>
      </c>
      <c r="O12" s="8">
        <v>729.6</v>
      </c>
      <c r="P12" s="8">
        <f>1.34983347379603E-11*1000*1000*1000*1000</f>
        <v>13.498334737960301</v>
      </c>
      <c r="R12" s="8">
        <f>59722.3/1000</f>
        <v>59.722300000000004</v>
      </c>
      <c r="S12" s="8">
        <v>1920.46875</v>
      </c>
      <c r="T12" s="8">
        <v>976.75</v>
      </c>
      <c r="U12" s="8">
        <f>1.63548840547671E-11*1000*1000*1000*1000</f>
        <v>16.354884054767101</v>
      </c>
      <c r="W12" s="8">
        <f t="shared" si="1"/>
        <v>10.49229340383453</v>
      </c>
      <c r="X12" s="8">
        <f t="shared" si="1"/>
        <v>8.4780766786697725</v>
      </c>
      <c r="Y12" s="8">
        <f t="shared" si="1"/>
        <v>33.874725877192979</v>
      </c>
      <c r="Z12" s="8">
        <f t="shared" si="1"/>
        <v>21.162234988687551</v>
      </c>
    </row>
    <row r="13" spans="1:26" x14ac:dyDescent="0.25">
      <c r="A13" s="2"/>
      <c r="B13" s="5" t="s">
        <v>10</v>
      </c>
      <c r="C13" s="1" t="s">
        <v>2</v>
      </c>
      <c r="D13" s="1"/>
      <c r="E13" s="1" t="s">
        <v>12</v>
      </c>
      <c r="F13" s="1">
        <v>134</v>
      </c>
      <c r="G13" s="1">
        <v>4</v>
      </c>
      <c r="H13" s="1">
        <v>4</v>
      </c>
      <c r="I13" s="1">
        <f>(1*64*H13)/G13</f>
        <v>64</v>
      </c>
      <c r="K13" s="9" t="s">
        <v>12</v>
      </c>
      <c r="L13" s="1"/>
      <c r="M13" s="8">
        <f>39882.6/1000</f>
        <v>39.882599999999996</v>
      </c>
      <c r="N13" s="8">
        <v>2065.6964285714284</v>
      </c>
      <c r="O13" s="8">
        <v>525.85714285714289</v>
      </c>
      <c r="P13" s="8">
        <f>1.31851485158612E-11*1000*1000*1000*1000</f>
        <v>13.185148515861203</v>
      </c>
      <c r="R13" s="8">
        <f>39876.8/1000</f>
        <v>39.876800000000003</v>
      </c>
      <c r="S13" s="8">
        <v>2068.1875</v>
      </c>
      <c r="T13" s="8">
        <v>549.875</v>
      </c>
      <c r="U13" s="8">
        <f>1.37893539917549E-11*1000*1000*1000*1000</f>
        <v>13.789353991754899</v>
      </c>
      <c r="W13" s="8">
        <f t="shared" si="1"/>
        <v>-1.4542682773925442E-2</v>
      </c>
      <c r="X13" s="8">
        <f t="shared" si="1"/>
        <v>0.12059232877186636</v>
      </c>
      <c r="Y13" s="8">
        <f t="shared" si="1"/>
        <v>4.5673729964683449</v>
      </c>
      <c r="Z13" s="8">
        <f t="shared" si="1"/>
        <v>4.5824700053007472</v>
      </c>
    </row>
    <row r="14" spans="1:26" x14ac:dyDescent="0.25">
      <c r="A14" s="2"/>
      <c r="B14" s="4"/>
      <c r="C14" s="1" t="s">
        <v>3</v>
      </c>
      <c r="D14" s="1"/>
      <c r="E14" s="1">
        <f>256*2.1</f>
        <v>537.6</v>
      </c>
      <c r="F14" s="1">
        <v>134</v>
      </c>
      <c r="G14" s="1">
        <v>4</v>
      </c>
      <c r="H14" s="1">
        <v>4</v>
      </c>
      <c r="I14" s="1">
        <f>(1*64*H14)/G14</f>
        <v>64</v>
      </c>
      <c r="K14" s="9">
        <f>E14*304/1000</f>
        <v>163.43039999999999</v>
      </c>
      <c r="M14" s="8">
        <f>39868.7/1000</f>
        <v>39.868699999999997</v>
      </c>
      <c r="N14" s="8">
        <v>2065.625</v>
      </c>
      <c r="O14" s="8">
        <v>525</v>
      </c>
      <c r="P14" s="8">
        <f>1.31682431976132E-11*1000*1000*1000*1000</f>
        <v>13.168243197613199</v>
      </c>
      <c r="R14" s="8">
        <f>39898.4/1000</f>
        <v>39.898400000000002</v>
      </c>
      <c r="S14" s="8">
        <v>2065.8571428571427</v>
      </c>
      <c r="T14" s="8">
        <v>554</v>
      </c>
      <c r="U14" s="8">
        <f>1.38852563299894E-11*1000*1000*1000*1000</f>
        <v>13.885256329989399</v>
      </c>
      <c r="W14" s="8">
        <f t="shared" si="1"/>
        <v>7.4494528289122522E-2</v>
      </c>
      <c r="X14" s="8">
        <f t="shared" si="1"/>
        <v>1.1238383401762772E-2</v>
      </c>
      <c r="Y14" s="8">
        <f t="shared" si="1"/>
        <v>5.5238095238095237</v>
      </c>
      <c r="Z14" s="8">
        <f t="shared" si="1"/>
        <v>5.4450173923440452</v>
      </c>
    </row>
    <row r="15" spans="1:26" x14ac:dyDescent="0.25">
      <c r="A15" s="2"/>
      <c r="B15" s="4"/>
      <c r="C15" s="1" t="s">
        <v>4</v>
      </c>
      <c r="D15" s="1"/>
      <c r="E15" s="1">
        <f>128*2.1</f>
        <v>268.8</v>
      </c>
      <c r="F15" s="1">
        <v>134</v>
      </c>
      <c r="G15" s="1">
        <v>4</v>
      </c>
      <c r="H15" s="1">
        <v>4</v>
      </c>
      <c r="I15" s="1">
        <f>(1*64*H15)/G15</f>
        <v>64</v>
      </c>
      <c r="K15" s="9">
        <f>E15*304/1000</f>
        <v>81.715199999999996</v>
      </c>
      <c r="M15" s="8">
        <f>39124.1/1000</f>
        <v>39.124099999999999</v>
      </c>
      <c r="N15" s="8">
        <v>2025.0833333333333</v>
      </c>
      <c r="O15" s="8">
        <v>727.66666666666663</v>
      </c>
      <c r="P15" s="8">
        <f>1.85989222046102E-11*1000*1000*1000*1000</f>
        <v>18.598922204610201</v>
      </c>
      <c r="R15" s="8">
        <f>39255.1/1000</f>
        <v>39.255099999999999</v>
      </c>
      <c r="S15" s="8">
        <v>2042.5892857142858</v>
      </c>
      <c r="T15" s="8">
        <v>755.28571428571433</v>
      </c>
      <c r="U15" s="8">
        <f>1.92404565027539E-11*1000*1000*1000*1000</f>
        <v>19.240456502753901</v>
      </c>
      <c r="W15" s="8">
        <f t="shared" si="1"/>
        <v>0.33483198335552827</v>
      </c>
      <c r="X15" s="8">
        <f t="shared" si="1"/>
        <v>0.8644559012856684</v>
      </c>
      <c r="Y15" s="8">
        <f t="shared" si="1"/>
        <v>3.7955631175970277</v>
      </c>
      <c r="Z15" s="8">
        <f t="shared" si="1"/>
        <v>3.4493090034253702</v>
      </c>
    </row>
    <row r="16" spans="1:26" x14ac:dyDescent="0.25">
      <c r="A16" s="1"/>
      <c r="B16" s="4" t="s">
        <v>20</v>
      </c>
      <c r="C16" s="1" t="s">
        <v>25</v>
      </c>
      <c r="D16" s="1"/>
      <c r="E16" s="1">
        <f>4096*2.1</f>
        <v>8601.6</v>
      </c>
      <c r="F16" s="1">
        <v>8575</v>
      </c>
      <c r="G16" s="1">
        <v>16</v>
      </c>
      <c r="H16" s="1">
        <v>4</v>
      </c>
      <c r="I16" s="1">
        <f>2*16*16*32*H16/G16</f>
        <v>4096</v>
      </c>
      <c r="K16" s="9">
        <f t="shared" ref="K16:K23" si="2">E16*304/1000</f>
        <v>2614.8863999999999</v>
      </c>
      <c r="M16" s="8"/>
      <c r="N16" s="8"/>
      <c r="O16" s="8"/>
      <c r="P16" s="8"/>
      <c r="R16" s="8"/>
    </row>
    <row r="17" spans="2:26" x14ac:dyDescent="0.25">
      <c r="B17" s="4"/>
      <c r="C17" s="1" t="s">
        <v>22</v>
      </c>
      <c r="E17" s="1">
        <f>4096*2.1</f>
        <v>8601.6</v>
      </c>
      <c r="F17" s="1">
        <v>8575</v>
      </c>
      <c r="G17" s="1">
        <v>16</v>
      </c>
      <c r="H17" s="1">
        <v>4</v>
      </c>
      <c r="I17" s="1">
        <f>2*16*16*32*H17/G17</f>
        <v>4096</v>
      </c>
      <c r="K17" s="9">
        <f t="shared" si="2"/>
        <v>2614.8863999999999</v>
      </c>
      <c r="M17" s="8"/>
      <c r="N17" s="8"/>
      <c r="O17" s="8"/>
      <c r="P17" s="8"/>
      <c r="R17" s="8"/>
    </row>
    <row r="18" spans="2:26" x14ac:dyDescent="0.25">
      <c r="B18" s="4"/>
      <c r="C18" s="1" t="s">
        <v>21</v>
      </c>
      <c r="E18" s="1">
        <f>4096*2.1</f>
        <v>8601.6</v>
      </c>
      <c r="F18" s="1">
        <v>8575</v>
      </c>
      <c r="G18" s="1">
        <v>16</v>
      </c>
      <c r="H18" s="1">
        <v>4</v>
      </c>
      <c r="I18" s="1">
        <f>2*16*16*32*H18/G18</f>
        <v>4096</v>
      </c>
      <c r="K18" s="9">
        <f t="shared" si="2"/>
        <v>2614.8863999999999</v>
      </c>
      <c r="M18" s="8"/>
      <c r="N18" s="8"/>
      <c r="O18" s="8"/>
      <c r="P18" s="8"/>
      <c r="R18" s="8"/>
    </row>
    <row r="19" spans="2:26" x14ac:dyDescent="0.25">
      <c r="B19" s="4"/>
      <c r="C19" s="1" t="s">
        <v>23</v>
      </c>
      <c r="E19" s="1">
        <f>2048*2.1</f>
        <v>4300.8</v>
      </c>
      <c r="F19" s="1">
        <v>4288</v>
      </c>
      <c r="G19" s="1">
        <v>16</v>
      </c>
      <c r="H19" s="1">
        <v>4</v>
      </c>
      <c r="I19" s="1">
        <f>2*16*16*16*H19/G19</f>
        <v>2048</v>
      </c>
      <c r="K19" s="9">
        <f t="shared" si="2"/>
        <v>1307.4431999999999</v>
      </c>
      <c r="M19" s="8"/>
      <c r="N19" s="8"/>
      <c r="O19" s="8"/>
      <c r="P19" s="8"/>
      <c r="R19" s="8"/>
    </row>
    <row r="20" spans="2:26" x14ac:dyDescent="0.25">
      <c r="B20" s="4"/>
      <c r="C20" s="1" t="s">
        <v>2</v>
      </c>
      <c r="E20" s="1">
        <f>2048*2.1</f>
        <v>4300.8</v>
      </c>
      <c r="F20" s="1">
        <v>4288</v>
      </c>
      <c r="G20" s="1">
        <v>16</v>
      </c>
      <c r="H20" s="1">
        <v>4</v>
      </c>
      <c r="I20" s="1">
        <f>2*16*16*16*H20/G20</f>
        <v>2048</v>
      </c>
      <c r="K20" s="9">
        <f t="shared" si="2"/>
        <v>1307.4431999999999</v>
      </c>
      <c r="M20" s="8"/>
      <c r="N20" s="8"/>
      <c r="O20" s="8"/>
      <c r="P20" s="8"/>
      <c r="R20" s="8"/>
    </row>
    <row r="21" spans="2:26" x14ac:dyDescent="0.25">
      <c r="B21" s="4"/>
      <c r="C21" s="1" t="s">
        <v>24</v>
      </c>
      <c r="E21" s="1">
        <f>1024*2.1</f>
        <v>2150.4</v>
      </c>
      <c r="F21" s="1">
        <v>2144</v>
      </c>
      <c r="G21" s="1">
        <v>16</v>
      </c>
      <c r="H21" s="1">
        <v>4</v>
      </c>
      <c r="I21" s="1">
        <f>2*16*16*8*H21/G21</f>
        <v>1024</v>
      </c>
      <c r="K21" s="9">
        <f t="shared" si="2"/>
        <v>653.72159999999997</v>
      </c>
      <c r="M21" s="8"/>
      <c r="N21" s="8"/>
      <c r="O21" s="8"/>
      <c r="P21" s="8"/>
      <c r="R21" s="8"/>
    </row>
    <row r="22" spans="2:26" x14ac:dyDescent="0.25">
      <c r="B22" s="4"/>
      <c r="C22" s="1" t="s">
        <v>3</v>
      </c>
      <c r="E22" s="1">
        <f>256*2.1</f>
        <v>537.6</v>
      </c>
      <c r="F22" s="1">
        <v>536</v>
      </c>
      <c r="G22" s="1">
        <v>32</v>
      </c>
      <c r="H22" s="1">
        <v>4</v>
      </c>
      <c r="I22" s="1">
        <f>2*16*16*4*H22/G22</f>
        <v>256</v>
      </c>
      <c r="K22" s="9">
        <f t="shared" si="2"/>
        <v>163.43039999999999</v>
      </c>
      <c r="M22" s="8"/>
      <c r="N22" s="8"/>
      <c r="O22" s="8"/>
      <c r="P22" s="8"/>
      <c r="R22" s="8"/>
    </row>
    <row r="23" spans="2:26" x14ac:dyDescent="0.25">
      <c r="B23" s="4"/>
      <c r="C23" s="1" t="s">
        <v>4</v>
      </c>
      <c r="E23" s="1">
        <f>256*2.1</f>
        <v>537.6</v>
      </c>
      <c r="F23" s="1">
        <v>536</v>
      </c>
      <c r="G23" s="1">
        <v>32</v>
      </c>
      <c r="H23" s="1">
        <v>4</v>
      </c>
      <c r="I23" s="1">
        <f>2*16*16*4*H23/G23</f>
        <v>256</v>
      </c>
      <c r="K23" s="9">
        <f t="shared" si="2"/>
        <v>163.43039999999999</v>
      </c>
      <c r="M23" s="8"/>
      <c r="N23" s="8"/>
      <c r="O23" s="8"/>
      <c r="P23" s="8"/>
      <c r="R23" s="8"/>
    </row>
    <row r="32" spans="2:26" x14ac:dyDescent="0.25">
      <c r="E32" s="2" t="s">
        <v>14</v>
      </c>
      <c r="F32" s="2"/>
      <c r="G32" s="2"/>
      <c r="H32" s="2"/>
      <c r="I32" s="1"/>
      <c r="J32" s="6"/>
      <c r="K32" s="3" t="s">
        <v>42</v>
      </c>
      <c r="L32" s="7"/>
      <c r="M32" s="2" t="s">
        <v>13</v>
      </c>
      <c r="N32" s="2"/>
      <c r="O32" s="2"/>
      <c r="P32" s="2"/>
      <c r="Q32" s="6"/>
      <c r="R32" s="2" t="s">
        <v>18</v>
      </c>
      <c r="S32" s="2"/>
      <c r="T32" s="2"/>
      <c r="U32" s="2"/>
      <c r="W32" s="2" t="s">
        <v>32</v>
      </c>
      <c r="X32" s="2"/>
      <c r="Y32" s="2"/>
      <c r="Z32" s="2"/>
    </row>
    <row r="33" spans="2:28" x14ac:dyDescent="0.25">
      <c r="B33" t="s">
        <v>0</v>
      </c>
      <c r="C33" t="s">
        <v>1</v>
      </c>
      <c r="E33" s="2" t="s">
        <v>11</v>
      </c>
      <c r="F33" s="2"/>
      <c r="G33" s="3" t="s">
        <v>26</v>
      </c>
      <c r="H33" s="5" t="s">
        <v>28</v>
      </c>
      <c r="I33" s="5" t="s">
        <v>29</v>
      </c>
      <c r="K33" s="3"/>
      <c r="L33" s="7"/>
      <c r="M33" s="5" t="s">
        <v>17</v>
      </c>
      <c r="N33" s="5" t="s">
        <v>19</v>
      </c>
      <c r="O33" s="5" t="s">
        <v>30</v>
      </c>
      <c r="P33" s="5" t="s">
        <v>31</v>
      </c>
      <c r="Q33" s="1"/>
      <c r="R33" s="5" t="s">
        <v>17</v>
      </c>
      <c r="S33" s="5" t="s">
        <v>19</v>
      </c>
      <c r="T33" s="5" t="s">
        <v>15</v>
      </c>
      <c r="U33" s="5" t="s">
        <v>31</v>
      </c>
      <c r="W33" s="4" t="s">
        <v>33</v>
      </c>
      <c r="X33" s="3" t="s">
        <v>34</v>
      </c>
      <c r="Y33" s="2" t="s">
        <v>35</v>
      </c>
      <c r="Z33" s="5" t="s">
        <v>31</v>
      </c>
    </row>
    <row r="34" spans="2:28" x14ac:dyDescent="0.25">
      <c r="E34" s="1" t="s">
        <v>5</v>
      </c>
      <c r="F34" s="1" t="s">
        <v>6</v>
      </c>
      <c r="G34" s="3"/>
      <c r="H34" s="5"/>
      <c r="I34" s="5"/>
      <c r="K34" s="3"/>
      <c r="L34" s="7"/>
      <c r="M34" s="5"/>
      <c r="N34" s="5"/>
      <c r="O34" s="5"/>
      <c r="P34" s="5"/>
      <c r="Q34" s="1"/>
      <c r="R34" s="5"/>
      <c r="S34" s="5"/>
      <c r="T34" s="5"/>
      <c r="U34" s="5"/>
      <c r="W34" s="4"/>
      <c r="X34" s="3"/>
      <c r="Y34" s="2"/>
      <c r="Z34" s="5"/>
    </row>
    <row r="35" spans="2:28" x14ac:dyDescent="0.25">
      <c r="B35" s="4" t="s">
        <v>7</v>
      </c>
      <c r="C35" s="1" t="s">
        <v>2</v>
      </c>
      <c r="D35" s="1"/>
      <c r="E35" s="1" t="s">
        <v>12</v>
      </c>
      <c r="F35" s="10">
        <v>134.047</v>
      </c>
      <c r="G35" s="1">
        <v>8</v>
      </c>
      <c r="H35" s="1">
        <v>4</v>
      </c>
      <c r="I35" s="13">
        <f>(2*64*H35)/G35</f>
        <v>64</v>
      </c>
      <c r="J35" s="1"/>
      <c r="K35" s="9" t="s">
        <v>12</v>
      </c>
      <c r="L35" s="1"/>
      <c r="M35" s="10">
        <v>39.568800000000003</v>
      </c>
      <c r="N35" s="10">
        <v>2056.9326923076924</v>
      </c>
      <c r="O35" s="10">
        <v>590.76923076923072</v>
      </c>
      <c r="P35" s="10">
        <v>14.930176652349562</v>
      </c>
      <c r="Q35" s="1"/>
      <c r="R35" s="10">
        <v>39.6434</v>
      </c>
      <c r="S35" s="10">
        <v>2058.75</v>
      </c>
      <c r="T35" s="10">
        <v>639.78571428571433</v>
      </c>
      <c r="U35" s="10">
        <v>16.138508573291801</v>
      </c>
      <c r="V35" s="1"/>
      <c r="W35" s="10">
        <f>(R35-M35)/M35*100</f>
        <v>0.18853237904610873</v>
      </c>
      <c r="X35" s="10">
        <f>(S35-N35)/N35*100</f>
        <v>8.8350372333708571E-2</v>
      </c>
      <c r="Y35" s="10">
        <f>(T35-O35)/O35*100</f>
        <v>8.2970610119047805</v>
      </c>
      <c r="Z35" s="10">
        <f>(U35-P35)/P35*100</f>
        <v>8.0932191833918043</v>
      </c>
    </row>
    <row r="36" spans="2:28" x14ac:dyDescent="0.25">
      <c r="B36" s="4"/>
      <c r="C36" s="1" t="s">
        <v>3</v>
      </c>
      <c r="D36" s="1"/>
      <c r="E36" s="1">
        <f>256*2.1</f>
        <v>537.6</v>
      </c>
      <c r="F36" s="10">
        <v>534.33399999999995</v>
      </c>
      <c r="G36" s="1">
        <v>4</v>
      </c>
      <c r="H36" s="1">
        <v>8</v>
      </c>
      <c r="I36" s="13">
        <f t="shared" ref="I36" si="3">(2*64*H36)/G36</f>
        <v>256</v>
      </c>
      <c r="J36" s="1"/>
      <c r="K36" s="9">
        <f>E36*304/1000</f>
        <v>163.43039999999999</v>
      </c>
      <c r="L36" s="1"/>
      <c r="M36" s="10">
        <v>140.13200000000001</v>
      </c>
      <c r="N36" s="10">
        <v>1831.7916666666667</v>
      </c>
      <c r="O36" s="10">
        <v>749.66666666666663</v>
      </c>
      <c r="P36" s="10">
        <v>5.3497133952381173</v>
      </c>
      <c r="Q36" s="1"/>
      <c r="R36" s="10">
        <v>153.94999999999999</v>
      </c>
      <c r="S36" s="10">
        <v>2015.875</v>
      </c>
      <c r="T36" s="10">
        <v>923.5</v>
      </c>
      <c r="U36" s="10">
        <v>5.9987162465428199</v>
      </c>
      <c r="V36" s="1"/>
      <c r="W36" s="10">
        <f t="shared" ref="W36:W55" si="4">(R36-M36)/M36*100</f>
        <v>9.8607027659635076</v>
      </c>
      <c r="X36" s="10">
        <f t="shared" ref="X36:X55" si="5">(S36-N36)/N36*100</f>
        <v>10.049359688829238</v>
      </c>
      <c r="Y36" s="10">
        <f t="shared" ref="Y36:Y55" si="6">(T36-O36)/O36*100</f>
        <v>23.188083592707876</v>
      </c>
      <c r="Z36" s="10">
        <f t="shared" ref="Z36:Z55" si="7">(U36-P36)/P36*100</f>
        <v>12.13154431567105</v>
      </c>
    </row>
    <row r="37" spans="2:28" x14ac:dyDescent="0.25">
      <c r="B37" s="4"/>
      <c r="C37" s="1" t="s">
        <v>4</v>
      </c>
      <c r="D37" s="1"/>
      <c r="E37" s="1">
        <f>128*2.1</f>
        <v>268.8</v>
      </c>
      <c r="F37" s="10">
        <v>255.041</v>
      </c>
      <c r="G37" s="1">
        <v>5</v>
      </c>
      <c r="H37" s="1">
        <v>4</v>
      </c>
      <c r="I37" s="13">
        <f>(2*64*H37)/G37</f>
        <v>102.4</v>
      </c>
      <c r="J37" s="1"/>
      <c r="K37" s="9">
        <f>E37*304/1000</f>
        <v>81.715199999999996</v>
      </c>
      <c r="L37" s="1"/>
      <c r="M37" s="10">
        <v>69.975300000000004</v>
      </c>
      <c r="N37" s="10">
        <v>1909.6071428571429</v>
      </c>
      <c r="O37" s="10">
        <v>745.71428571428567</v>
      </c>
      <c r="P37" s="10">
        <v>10.656816157347921</v>
      </c>
      <c r="Q37" s="1"/>
      <c r="R37" s="10">
        <v>74.041899999999998</v>
      </c>
      <c r="S37" s="10">
        <v>2026.109375</v>
      </c>
      <c r="T37" s="10">
        <v>858.125</v>
      </c>
      <c r="U37" s="10">
        <v>11.589717564600289</v>
      </c>
      <c r="V37" s="1"/>
      <c r="W37" s="10">
        <f t="shared" si="4"/>
        <v>5.8114791933725094</v>
      </c>
      <c r="X37" s="10">
        <f t="shared" si="5"/>
        <v>6.1008481550057025</v>
      </c>
      <c r="Y37" s="10">
        <f t="shared" si="6"/>
        <v>15.074233716475103</v>
      </c>
      <c r="Z37" s="10">
        <f t="shared" si="7"/>
        <v>8.7540349151010588</v>
      </c>
    </row>
    <row r="38" spans="2:28" x14ac:dyDescent="0.25">
      <c r="B38" s="5" t="s">
        <v>37</v>
      </c>
      <c r="C38" s="1" t="s">
        <v>2</v>
      </c>
      <c r="D38" s="1"/>
      <c r="E38" s="1" t="s">
        <v>12</v>
      </c>
      <c r="F38" s="10">
        <v>133.96799999999999</v>
      </c>
      <c r="G38" s="1">
        <v>8</v>
      </c>
      <c r="H38" s="1">
        <v>4</v>
      </c>
      <c r="I38" s="13">
        <f t="shared" ref="I38:I40" si="8">(2*64*H38)/G38</f>
        <v>64</v>
      </c>
      <c r="J38" s="1"/>
      <c r="K38" s="9" t="s">
        <v>12</v>
      </c>
      <c r="L38" s="1"/>
      <c r="M38" s="10">
        <v>39.675199999999997</v>
      </c>
      <c r="N38" s="10">
        <v>2058.8229166666665</v>
      </c>
      <c r="O38" s="10">
        <v>585.91666666666663</v>
      </c>
      <c r="P38" s="10">
        <v>14.767836874621585</v>
      </c>
      <c r="Q38" s="1"/>
      <c r="R38" s="10">
        <v>39.710500000000003</v>
      </c>
      <c r="S38" s="10">
        <v>2062.2232142857142</v>
      </c>
      <c r="T38" s="10">
        <v>595.71428571428567</v>
      </c>
      <c r="U38" s="10">
        <v>15.001415888953051</v>
      </c>
      <c r="V38" s="1"/>
      <c r="W38" s="10">
        <f t="shared" si="4"/>
        <v>8.8972456345542184E-2</v>
      </c>
      <c r="X38" s="10">
        <f t="shared" si="5"/>
        <v>0.1651573620791511</v>
      </c>
      <c r="Y38" s="10">
        <f t="shared" si="6"/>
        <v>1.6721864396448363</v>
      </c>
      <c r="Z38" s="10">
        <f t="shared" si="7"/>
        <v>1.5816738518616102</v>
      </c>
    </row>
    <row r="39" spans="2:28" x14ac:dyDescent="0.25">
      <c r="B39" s="4"/>
      <c r="C39" s="1" t="s">
        <v>3</v>
      </c>
      <c r="D39" s="1"/>
      <c r="E39" s="1">
        <f>256*2.1</f>
        <v>537.6</v>
      </c>
      <c r="F39" s="10">
        <v>267.79399999999998</v>
      </c>
      <c r="G39" s="1">
        <v>4</v>
      </c>
      <c r="H39" s="1">
        <v>4</v>
      </c>
      <c r="I39" s="13">
        <f t="shared" si="8"/>
        <v>128</v>
      </c>
      <c r="J39" s="1"/>
      <c r="K39" s="9">
        <f>E39*304/1000</f>
        <v>163.43039999999999</v>
      </c>
      <c r="L39" s="1"/>
      <c r="M39" s="10">
        <v>79.270699999999991</v>
      </c>
      <c r="N39" s="10">
        <v>2058.375</v>
      </c>
      <c r="O39" s="10">
        <v>582</v>
      </c>
      <c r="P39" s="10">
        <v>7.3419245812769276</v>
      </c>
      <c r="Q39" s="1"/>
      <c r="R39" s="10">
        <v>79.278000000000006</v>
      </c>
      <c r="S39" s="10">
        <v>2059.1964285714284</v>
      </c>
      <c r="T39" s="10">
        <v>625.71428571428567</v>
      </c>
      <c r="U39" s="10">
        <v>7.8926591738438994</v>
      </c>
      <c r="V39" s="1"/>
      <c r="W39" s="10">
        <f t="shared" si="4"/>
        <v>9.2089511004885324E-3</v>
      </c>
      <c r="X39" s="10">
        <f t="shared" si="5"/>
        <v>3.9906653133099726E-2</v>
      </c>
      <c r="Y39" s="10">
        <f t="shared" si="6"/>
        <v>7.5110456553755434</v>
      </c>
      <c r="Z39" s="10">
        <f t="shared" si="7"/>
        <v>7.5012292277073014</v>
      </c>
    </row>
    <row r="40" spans="2:28" x14ac:dyDescent="0.25">
      <c r="B40" s="4"/>
      <c r="C40" s="1" t="s">
        <v>4</v>
      </c>
      <c r="D40" s="1"/>
      <c r="E40" s="1">
        <f>128*2.1</f>
        <v>268.8</v>
      </c>
      <c r="F40" s="10">
        <v>267.80700000000002</v>
      </c>
      <c r="G40" s="1">
        <v>4</v>
      </c>
      <c r="H40" s="1">
        <v>4</v>
      </c>
      <c r="I40" s="13">
        <f t="shared" si="8"/>
        <v>128</v>
      </c>
      <c r="J40" s="1"/>
      <c r="K40" s="9">
        <f>E40*304/1000</f>
        <v>81.715199999999996</v>
      </c>
      <c r="L40" s="1"/>
      <c r="M40" s="10">
        <v>73.558700000000002</v>
      </c>
      <c r="N40" s="10">
        <v>1916.0714285714287</v>
      </c>
      <c r="O40" s="10">
        <v>750</v>
      </c>
      <c r="P40" s="10">
        <v>10.195947945583997</v>
      </c>
      <c r="Q40" s="1"/>
      <c r="R40" s="10">
        <v>77.692899999999995</v>
      </c>
      <c r="S40" s="10">
        <v>2026.0625</v>
      </c>
      <c r="T40" s="10">
        <v>853.375</v>
      </c>
      <c r="U40" s="10">
        <v>10.983951733653372</v>
      </c>
      <c r="V40" s="1"/>
      <c r="W40" s="10">
        <f t="shared" si="4"/>
        <v>5.6202733327260983</v>
      </c>
      <c r="X40" s="10">
        <f t="shared" si="5"/>
        <v>5.7404473438956147</v>
      </c>
      <c r="Y40" s="10">
        <f t="shared" si="6"/>
        <v>13.783333333333333</v>
      </c>
      <c r="Z40" s="10">
        <f t="shared" si="7"/>
        <v>7.728597598526088</v>
      </c>
    </row>
    <row r="41" spans="2:28" x14ac:dyDescent="0.25">
      <c r="B41" s="14" t="s">
        <v>36</v>
      </c>
      <c r="C41" s="15" t="s">
        <v>2</v>
      </c>
      <c r="D41" s="15"/>
      <c r="E41" s="15" t="s">
        <v>12</v>
      </c>
      <c r="F41" s="16">
        <v>134.02799999999999</v>
      </c>
      <c r="G41" s="15">
        <v>8</v>
      </c>
      <c r="H41" s="15">
        <v>4</v>
      </c>
      <c r="I41" s="17">
        <f t="shared" ref="I41:I43" si="9">(2*64*H41)/G41</f>
        <v>64</v>
      </c>
      <c r="J41" s="15"/>
      <c r="K41" s="18" t="s">
        <v>12</v>
      </c>
      <c r="L41" s="15"/>
      <c r="M41" s="16">
        <v>39.638599999999997</v>
      </c>
      <c r="N41" s="16">
        <v>2055.3461538461538</v>
      </c>
      <c r="O41" s="16">
        <v>602.69230769230774</v>
      </c>
      <c r="P41" s="16">
        <v>15.204635492170242</v>
      </c>
      <c r="Q41" s="15"/>
      <c r="R41" s="16">
        <v>39.762999999999998</v>
      </c>
      <c r="S41" s="16">
        <v>2059.6916666666666</v>
      </c>
      <c r="T41" s="16">
        <v>632.4</v>
      </c>
      <c r="U41" s="16">
        <v>15.904243020103376</v>
      </c>
      <c r="V41" s="15"/>
      <c r="W41" s="10">
        <f t="shared" si="4"/>
        <v>0.31383550377662534</v>
      </c>
      <c r="X41" s="10">
        <f t="shared" si="5"/>
        <v>0.21142486448723344</v>
      </c>
      <c r="Y41" s="10">
        <f t="shared" si="6"/>
        <v>4.9291640076579339</v>
      </c>
      <c r="Z41" s="10">
        <f t="shared" si="7"/>
        <v>4.6012778688012803</v>
      </c>
      <c r="AB41" s="8"/>
    </row>
    <row r="42" spans="2:28" x14ac:dyDescent="0.25">
      <c r="B42" s="19"/>
      <c r="C42" s="15" t="s">
        <v>3</v>
      </c>
      <c r="D42" s="15"/>
      <c r="E42" s="15">
        <f>256*2.1</f>
        <v>537.6</v>
      </c>
      <c r="F42" s="16">
        <v>255.34800000000001</v>
      </c>
      <c r="G42" s="15">
        <v>5</v>
      </c>
      <c r="H42" s="15">
        <v>4</v>
      </c>
      <c r="I42" s="17">
        <f t="shared" si="9"/>
        <v>102.4</v>
      </c>
      <c r="J42" s="15"/>
      <c r="K42" s="18">
        <f>E42*304/1000</f>
        <v>163.43039999999999</v>
      </c>
      <c r="L42" s="15"/>
      <c r="M42" s="16">
        <v>75.516899999999993</v>
      </c>
      <c r="N42" s="16">
        <v>2056.0714285714284</v>
      </c>
      <c r="O42" s="16">
        <v>604.28571428571433</v>
      </c>
      <c r="P42" s="16">
        <v>8.0019987508353392</v>
      </c>
      <c r="Q42" s="15"/>
      <c r="R42" s="16">
        <v>75.777100000000004</v>
      </c>
      <c r="S42" s="16">
        <v>2060.8928571428573</v>
      </c>
      <c r="T42" s="16">
        <v>620.28571428571433</v>
      </c>
      <c r="U42" s="16">
        <v>8.185664675276124</v>
      </c>
      <c r="V42" s="15"/>
      <c r="W42" s="10">
        <f t="shared" si="4"/>
        <v>0.34455863521941682</v>
      </c>
      <c r="X42" s="10">
        <f t="shared" si="5"/>
        <v>0.23449713392393454</v>
      </c>
      <c r="Y42" s="10">
        <f t="shared" si="6"/>
        <v>2.6477541371158391</v>
      </c>
      <c r="Z42" s="10">
        <f t="shared" si="7"/>
        <v>2.2952506012527389</v>
      </c>
      <c r="AB42" s="8"/>
    </row>
    <row r="43" spans="2:28" x14ac:dyDescent="0.25">
      <c r="B43" s="19"/>
      <c r="C43" s="15" t="s">
        <v>4</v>
      </c>
      <c r="D43" s="15"/>
      <c r="E43" s="15">
        <f>128*2.1</f>
        <v>268.8</v>
      </c>
      <c r="F43" s="16">
        <v>255.28800000000001</v>
      </c>
      <c r="G43" s="15">
        <v>5</v>
      </c>
      <c r="H43" s="15">
        <v>4</v>
      </c>
      <c r="I43" s="17">
        <f t="shared" si="9"/>
        <v>102.4</v>
      </c>
      <c r="J43" s="15"/>
      <c r="K43" s="18">
        <f>E43*304/1000</f>
        <v>81.715199999999996</v>
      </c>
      <c r="L43" s="15"/>
      <c r="M43" s="16">
        <v>70.171700000000001</v>
      </c>
      <c r="N43" s="16">
        <v>1924.390625</v>
      </c>
      <c r="O43" s="16">
        <v>747.75</v>
      </c>
      <c r="P43" s="16">
        <v>10.656009363317839</v>
      </c>
      <c r="Q43" s="15"/>
      <c r="R43" s="16">
        <v>74.379899999999992</v>
      </c>
      <c r="S43" s="16">
        <v>2031.53125</v>
      </c>
      <c r="T43" s="16">
        <v>842.5</v>
      </c>
      <c r="U43" s="16">
        <v>11.326979251622873</v>
      </c>
      <c r="V43" s="15"/>
      <c r="W43" s="10">
        <f t="shared" si="4"/>
        <v>5.9970044904142137</v>
      </c>
      <c r="X43" s="10">
        <f t="shared" si="5"/>
        <v>5.5675091952809739</v>
      </c>
      <c r="Y43" s="10">
        <f t="shared" si="6"/>
        <v>12.671347375459712</v>
      </c>
      <c r="Z43" s="10">
        <f t="shared" si="7"/>
        <v>6.2966338094143923</v>
      </c>
      <c r="AB43" s="8"/>
    </row>
    <row r="44" spans="2:28" x14ac:dyDescent="0.25">
      <c r="B44" s="11" t="s">
        <v>38</v>
      </c>
      <c r="C44" s="1" t="s">
        <v>2</v>
      </c>
      <c r="D44" s="1"/>
      <c r="E44" s="1" t="s">
        <v>12</v>
      </c>
      <c r="F44" s="10">
        <v>267.089</v>
      </c>
      <c r="G44" s="1">
        <v>4</v>
      </c>
      <c r="H44" s="1">
        <v>8</v>
      </c>
      <c r="I44" s="13">
        <f>(1*64*H44)/G44</f>
        <v>128</v>
      </c>
      <c r="J44" s="1"/>
      <c r="K44" s="9" t="s">
        <v>12</v>
      </c>
      <c r="L44" s="1"/>
      <c r="M44" s="10">
        <v>76.965699999999998</v>
      </c>
      <c r="N44" s="10">
        <v>2007.0416666666667</v>
      </c>
      <c r="O44" s="10">
        <v>748.66666666666663</v>
      </c>
      <c r="P44" s="10">
        <v>9.7272687813337573</v>
      </c>
      <c r="Q44" s="1"/>
      <c r="R44" s="10">
        <v>78.153899999999993</v>
      </c>
      <c r="S44" s="10">
        <v>2036.71875</v>
      </c>
      <c r="T44" s="10">
        <v>797</v>
      </c>
      <c r="U44" s="10">
        <v>10.197833441787607</v>
      </c>
      <c r="V44" s="1"/>
      <c r="W44" s="10">
        <f t="shared" si="4"/>
        <v>1.543804577883388</v>
      </c>
      <c r="X44" s="10">
        <f t="shared" si="5"/>
        <v>1.4786480931719532</v>
      </c>
      <c r="Y44" s="10">
        <f t="shared" si="6"/>
        <v>6.4559216384683937</v>
      </c>
      <c r="Z44" s="10">
        <f t="shared" si="7"/>
        <v>4.837582583888751</v>
      </c>
    </row>
    <row r="45" spans="2:28" x14ac:dyDescent="0.25">
      <c r="B45" s="12"/>
      <c r="C45" s="1" t="s">
        <v>3</v>
      </c>
      <c r="D45" s="1"/>
      <c r="E45" s="1">
        <f>256*2.1</f>
        <v>537.6</v>
      </c>
      <c r="F45" s="10">
        <v>267.10199999999998</v>
      </c>
      <c r="G45" s="1">
        <v>4</v>
      </c>
      <c r="H45" s="1">
        <v>8</v>
      </c>
      <c r="I45" s="13">
        <f>(1*64*H45)/G45</f>
        <v>128</v>
      </c>
      <c r="J45" s="1"/>
      <c r="K45" s="9">
        <f>E45*304/1000</f>
        <v>163.43039999999999</v>
      </c>
      <c r="L45" s="1"/>
      <c r="M45" s="10">
        <v>75.551899999999989</v>
      </c>
      <c r="N45" s="10">
        <v>1973.875</v>
      </c>
      <c r="O45" s="10">
        <v>750</v>
      </c>
      <c r="P45" s="10">
        <v>9.9269476849210463</v>
      </c>
      <c r="Q45" s="1"/>
      <c r="R45" s="10">
        <v>78.030500000000004</v>
      </c>
      <c r="S45" s="10">
        <v>2034</v>
      </c>
      <c r="T45" s="10">
        <v>811.25</v>
      </c>
      <c r="U45" s="10">
        <v>10.39657305275461</v>
      </c>
      <c r="V45" s="1"/>
      <c r="W45" s="10">
        <f t="shared" si="4"/>
        <v>3.2806587259883799</v>
      </c>
      <c r="X45" s="10">
        <f t="shared" si="5"/>
        <v>3.0460388829079856</v>
      </c>
      <c r="Y45" s="10">
        <f t="shared" si="6"/>
        <v>8.1666666666666661</v>
      </c>
      <c r="Z45" s="10">
        <f t="shared" si="7"/>
        <v>4.7308133651889843</v>
      </c>
    </row>
    <row r="46" spans="2:28" x14ac:dyDescent="0.25">
      <c r="B46" s="12"/>
      <c r="C46" s="1" t="s">
        <v>4</v>
      </c>
      <c r="D46" s="1"/>
      <c r="E46" s="1">
        <f>128*2.1</f>
        <v>268.8</v>
      </c>
      <c r="F46" s="10">
        <v>214.40199999999999</v>
      </c>
      <c r="G46" s="1">
        <v>5</v>
      </c>
      <c r="H46" s="1">
        <v>8</v>
      </c>
      <c r="I46" s="13">
        <f>(1*64*H46)/G46</f>
        <v>102.4</v>
      </c>
      <c r="J46" s="1"/>
      <c r="K46" s="9">
        <f>E46*304/1000</f>
        <v>81.715199999999996</v>
      </c>
      <c r="L46" s="1"/>
      <c r="M46" s="10">
        <v>54.051099999999998</v>
      </c>
      <c r="N46" s="10">
        <v>1770.375</v>
      </c>
      <c r="O46" s="10">
        <v>729.6</v>
      </c>
      <c r="P46" s="10">
        <v>13.498334737960249</v>
      </c>
      <c r="Q46" s="1"/>
      <c r="R46" s="10">
        <v>59.722300000000004</v>
      </c>
      <c r="S46" s="10">
        <v>1920.46875</v>
      </c>
      <c r="T46" s="10">
        <v>976.75</v>
      </c>
      <c r="U46" s="10">
        <v>16.354884054767115</v>
      </c>
      <c r="V46" s="1"/>
      <c r="W46" s="10">
        <f t="shared" si="4"/>
        <v>10.49229340383453</v>
      </c>
      <c r="X46" s="10">
        <f t="shared" si="5"/>
        <v>8.4780766786697725</v>
      </c>
      <c r="Y46" s="10">
        <f t="shared" si="6"/>
        <v>33.874725877192979</v>
      </c>
      <c r="Z46" s="10">
        <f t="shared" si="7"/>
        <v>21.162234988688116</v>
      </c>
    </row>
    <row r="47" spans="2:28" x14ac:dyDescent="0.25">
      <c r="B47" s="5" t="s">
        <v>39</v>
      </c>
      <c r="C47" s="1" t="s">
        <v>2</v>
      </c>
      <c r="D47" s="1"/>
      <c r="E47" s="1" t="s">
        <v>12</v>
      </c>
      <c r="F47" s="10">
        <v>267.23500000000001</v>
      </c>
      <c r="G47" s="1">
        <v>4</v>
      </c>
      <c r="H47" s="1">
        <v>8</v>
      </c>
      <c r="I47" s="13">
        <f>(1*64*H47)/G47</f>
        <v>128</v>
      </c>
      <c r="J47" s="1"/>
      <c r="K47" s="9" t="s">
        <v>12</v>
      </c>
      <c r="L47" s="1"/>
      <c r="M47" s="10">
        <v>76.023399999999995</v>
      </c>
      <c r="N47" s="10">
        <v>1982.65625</v>
      </c>
      <c r="O47" s="10">
        <v>750</v>
      </c>
      <c r="P47" s="10">
        <v>9.8653997252097891</v>
      </c>
      <c r="Q47" s="1"/>
      <c r="R47" s="10">
        <v>78.000100000000003</v>
      </c>
      <c r="S47" s="10">
        <v>2037.53125</v>
      </c>
      <c r="T47" s="10">
        <v>802.75</v>
      </c>
      <c r="U47" s="10">
        <v>10.291652046134914</v>
      </c>
      <c r="V47" s="1"/>
      <c r="W47" s="10">
        <f t="shared" si="4"/>
        <v>2.6001204892178045</v>
      </c>
      <c r="X47" s="10">
        <f t="shared" si="5"/>
        <v>2.7677515958704388</v>
      </c>
      <c r="Y47" s="10">
        <f t="shared" si="6"/>
        <v>7.0333333333333332</v>
      </c>
      <c r="Z47" s="10">
        <f t="shared" si="7"/>
        <v>4.3206796764239597</v>
      </c>
    </row>
    <row r="48" spans="2:28" x14ac:dyDescent="0.25">
      <c r="B48" s="4"/>
      <c r="C48" s="1" t="s">
        <v>3</v>
      </c>
      <c r="D48" s="1"/>
      <c r="E48" s="1">
        <f>256*2.1</f>
        <v>537.6</v>
      </c>
      <c r="F48" s="10">
        <v>268.029</v>
      </c>
      <c r="G48" s="1">
        <v>4</v>
      </c>
      <c r="H48" s="1">
        <v>8</v>
      </c>
      <c r="I48" s="13">
        <f>(1*64*H48)/G48</f>
        <v>128</v>
      </c>
      <c r="J48" s="1"/>
      <c r="K48" s="9">
        <f>E48*304/1000</f>
        <v>163.43039999999999</v>
      </c>
      <c r="L48" s="1"/>
      <c r="M48" s="10">
        <v>75.459699999999998</v>
      </c>
      <c r="N48" s="10">
        <v>1966.0833333333333</v>
      </c>
      <c r="O48" s="10">
        <v>750</v>
      </c>
      <c r="P48" s="10">
        <v>9.939086746606721</v>
      </c>
      <c r="Q48" s="1"/>
      <c r="R48" s="10">
        <v>77.920699999999997</v>
      </c>
      <c r="S48" s="10">
        <v>2033.75</v>
      </c>
      <c r="T48" s="10">
        <v>818</v>
      </c>
      <c r="U48" s="10">
        <v>10.497859109723082</v>
      </c>
      <c r="V48" s="1"/>
      <c r="W48" s="10">
        <f t="shared" si="4"/>
        <v>3.261343472078472</v>
      </c>
      <c r="X48" s="10">
        <f t="shared" si="5"/>
        <v>3.4416988089687655</v>
      </c>
      <c r="Y48" s="10">
        <f t="shared" si="6"/>
        <v>9.0666666666666664</v>
      </c>
      <c r="Z48" s="10">
        <f t="shared" si="7"/>
        <v>5.6219688726142802</v>
      </c>
    </row>
    <row r="49" spans="2:26" x14ac:dyDescent="0.25">
      <c r="B49" s="4"/>
      <c r="C49" s="1" t="s">
        <v>4</v>
      </c>
      <c r="D49" s="1"/>
      <c r="E49" s="1">
        <f>128*2.1</f>
        <v>268.8</v>
      </c>
      <c r="F49" s="10">
        <v>214.51599999999999</v>
      </c>
      <c r="G49" s="1">
        <v>5</v>
      </c>
      <c r="H49" s="1">
        <v>8</v>
      </c>
      <c r="I49" s="13">
        <f>(1*64*H49)/G49</f>
        <v>102.4</v>
      </c>
      <c r="J49" s="1"/>
      <c r="K49" s="9">
        <f>E49*304/1000</f>
        <v>81.715199999999996</v>
      </c>
      <c r="L49" s="1"/>
      <c r="M49" s="10">
        <v>53.6873</v>
      </c>
      <c r="N49" s="10">
        <v>1792.2750000000001</v>
      </c>
      <c r="O49" s="10">
        <v>711.4</v>
      </c>
      <c r="P49" s="10">
        <v>13.250793741510851</v>
      </c>
      <c r="Q49" s="1"/>
      <c r="R49" s="10">
        <v>59.457500000000003</v>
      </c>
      <c r="S49" s="10">
        <v>1952</v>
      </c>
      <c r="T49" s="10">
        <v>828</v>
      </c>
      <c r="U49" s="10">
        <v>13.925917564368937</v>
      </c>
      <c r="V49" s="1"/>
      <c r="W49" s="10">
        <f t="shared" si="4"/>
        <v>10.747793239741993</v>
      </c>
      <c r="X49" s="10">
        <f t="shared" si="5"/>
        <v>8.9118578343167147</v>
      </c>
      <c r="Y49" s="10">
        <f t="shared" si="6"/>
        <v>16.390216474557214</v>
      </c>
      <c r="Z49" s="10">
        <f t="shared" si="7"/>
        <v>5.0949689205645221</v>
      </c>
    </row>
    <row r="50" spans="2:26" x14ac:dyDescent="0.25">
      <c r="B50" s="5" t="s">
        <v>40</v>
      </c>
      <c r="C50" s="1" t="s">
        <v>2</v>
      </c>
      <c r="D50" s="1"/>
      <c r="E50" s="1" t="s">
        <v>12</v>
      </c>
      <c r="F50" s="10">
        <v>134.03100000000001</v>
      </c>
      <c r="G50" s="1">
        <v>4</v>
      </c>
      <c r="H50" s="1">
        <v>4</v>
      </c>
      <c r="I50" s="13">
        <f>(1*64*H50)/G50</f>
        <v>64</v>
      </c>
      <c r="J50" s="1"/>
      <c r="K50" s="9" t="s">
        <v>12</v>
      </c>
      <c r="L50" s="1"/>
      <c r="M50" s="10">
        <v>39.882599999999996</v>
      </c>
      <c r="N50" s="10">
        <v>2065.6964285714284</v>
      </c>
      <c r="O50" s="10">
        <v>525.85714285714289</v>
      </c>
      <c r="P50" s="10">
        <v>13.185148515861201</v>
      </c>
      <c r="Q50" s="1"/>
      <c r="R50" s="10">
        <v>39.876800000000003</v>
      </c>
      <c r="S50" s="10">
        <v>2068.1875</v>
      </c>
      <c r="T50" s="10">
        <v>549.875</v>
      </c>
      <c r="U50" s="10">
        <v>13.789353991754931</v>
      </c>
      <c r="V50" s="1"/>
      <c r="W50" s="10">
        <f t="shared" si="4"/>
        <v>-1.4542682773925442E-2</v>
      </c>
      <c r="X50" s="10">
        <f t="shared" si="5"/>
        <v>0.12059232877186636</v>
      </c>
      <c r="Y50" s="10">
        <f t="shared" si="6"/>
        <v>4.5673729964683449</v>
      </c>
      <c r="Z50" s="10">
        <f t="shared" si="7"/>
        <v>4.5824700053010048</v>
      </c>
    </row>
    <row r="51" spans="2:26" x14ac:dyDescent="0.25">
      <c r="B51" s="4"/>
      <c r="C51" s="1" t="s">
        <v>3</v>
      </c>
      <c r="D51" s="1"/>
      <c r="E51" s="1">
        <f>256*2.1</f>
        <v>537.6</v>
      </c>
      <c r="F51" s="10">
        <v>134.048</v>
      </c>
      <c r="G51" s="1">
        <v>4</v>
      </c>
      <c r="H51" s="1">
        <v>4</v>
      </c>
      <c r="I51" s="13">
        <f>(1*64*H51)/G51</f>
        <v>64</v>
      </c>
      <c r="J51" s="1"/>
      <c r="K51" s="9">
        <f>E51*304/1000</f>
        <v>163.43039999999999</v>
      </c>
      <c r="L51" s="1"/>
      <c r="M51" s="10">
        <v>39.868699999999997</v>
      </c>
      <c r="N51" s="10">
        <v>2065.625</v>
      </c>
      <c r="O51" s="10">
        <v>525</v>
      </c>
      <c r="P51" s="10">
        <v>13.168243197613169</v>
      </c>
      <c r="Q51" s="1"/>
      <c r="R51" s="10">
        <v>39.898400000000002</v>
      </c>
      <c r="S51" s="10">
        <v>2065.8571428571427</v>
      </c>
      <c r="T51" s="10">
        <v>554</v>
      </c>
      <c r="U51" s="10">
        <v>13.885256329989424</v>
      </c>
      <c r="V51" s="1"/>
      <c r="W51" s="10">
        <f t="shared" si="4"/>
        <v>7.4494528289122522E-2</v>
      </c>
      <c r="X51" s="10">
        <f t="shared" si="5"/>
        <v>1.1238383401762772E-2</v>
      </c>
      <c r="Y51" s="10">
        <f t="shared" si="6"/>
        <v>5.5238095238095237</v>
      </c>
      <c r="Z51" s="10">
        <f t="shared" si="7"/>
        <v>5.445017392344476</v>
      </c>
    </row>
    <row r="52" spans="2:26" x14ac:dyDescent="0.25">
      <c r="B52" s="4"/>
      <c r="C52" s="1" t="s">
        <v>4</v>
      </c>
      <c r="D52" s="1"/>
      <c r="E52" s="1">
        <f>128*2.1</f>
        <v>268.8</v>
      </c>
      <c r="F52" s="10">
        <v>134.06700000000001</v>
      </c>
      <c r="G52" s="1">
        <v>4</v>
      </c>
      <c r="H52" s="1">
        <v>4</v>
      </c>
      <c r="I52" s="13">
        <f>(1*64*H52)/G52</f>
        <v>64</v>
      </c>
      <c r="J52" s="1"/>
      <c r="K52" s="9">
        <f>E52*304/1000</f>
        <v>81.715199999999996</v>
      </c>
      <c r="L52" s="1"/>
      <c r="M52" s="10">
        <v>39.124099999999999</v>
      </c>
      <c r="N52" s="10">
        <v>2025.0833333333333</v>
      </c>
      <c r="O52" s="10">
        <v>727.66666666666663</v>
      </c>
      <c r="P52" s="10">
        <v>18.598922204610222</v>
      </c>
      <c r="Q52" s="1"/>
      <c r="R52" s="10">
        <v>39.255099999999999</v>
      </c>
      <c r="S52" s="10">
        <v>2042.5892857142858</v>
      </c>
      <c r="T52" s="10">
        <v>755.28571428571433</v>
      </c>
      <c r="U52" s="10">
        <v>19.240456502753879</v>
      </c>
      <c r="V52" s="1"/>
      <c r="W52" s="10">
        <f t="shared" si="4"/>
        <v>0.33483198335552827</v>
      </c>
      <c r="X52" s="10">
        <f t="shared" si="5"/>
        <v>0.8644559012856684</v>
      </c>
      <c r="Y52" s="10">
        <f t="shared" si="6"/>
        <v>3.7955631175970277</v>
      </c>
      <c r="Z52" s="10">
        <f t="shared" si="7"/>
        <v>3.449309003425137</v>
      </c>
    </row>
    <row r="53" spans="2:26" x14ac:dyDescent="0.25">
      <c r="B53" s="5" t="s">
        <v>41</v>
      </c>
      <c r="C53" s="1" t="s">
        <v>2</v>
      </c>
      <c r="D53" s="1"/>
      <c r="E53" s="1" t="s">
        <v>12</v>
      </c>
      <c r="F53" s="10">
        <v>133.97399999999999</v>
      </c>
      <c r="G53" s="1">
        <v>4</v>
      </c>
      <c r="H53" s="1">
        <v>4</v>
      </c>
      <c r="I53" s="13">
        <f>(1*64*H53)/G53</f>
        <v>64</v>
      </c>
      <c r="J53" s="1"/>
      <c r="K53" s="9" t="s">
        <v>12</v>
      </c>
      <c r="L53" s="1"/>
      <c r="M53" s="10">
        <v>39.799500000000002</v>
      </c>
      <c r="N53" s="10">
        <v>2065.0178571428573</v>
      </c>
      <c r="O53" s="10">
        <v>532.28571428571433</v>
      </c>
      <c r="P53" s="10">
        <v>13.374172535155333</v>
      </c>
      <c r="Q53" s="1"/>
      <c r="R53" s="10">
        <v>39.873199999999997</v>
      </c>
      <c r="S53" s="10">
        <v>2068.0178571428573</v>
      </c>
      <c r="T53" s="10">
        <v>554.85714285714289</v>
      </c>
      <c r="U53" s="10">
        <v>13.915554043199892</v>
      </c>
      <c r="V53" s="1"/>
      <c r="W53" s="10">
        <f t="shared" si="4"/>
        <v>0.1851782057563417</v>
      </c>
      <c r="X53" s="10">
        <f t="shared" si="5"/>
        <v>0.14527719407476586</v>
      </c>
      <c r="Y53" s="10">
        <f t="shared" si="6"/>
        <v>4.240472356414382</v>
      </c>
      <c r="Z53" s="10">
        <f t="shared" si="7"/>
        <v>4.0479626430830322</v>
      </c>
    </row>
    <row r="54" spans="2:26" x14ac:dyDescent="0.25">
      <c r="B54" s="4"/>
      <c r="C54" s="1" t="s">
        <v>3</v>
      </c>
      <c r="D54" s="1"/>
      <c r="E54" s="1">
        <f>256*2.1</f>
        <v>537.6</v>
      </c>
      <c r="F54" s="10">
        <v>133.982</v>
      </c>
      <c r="G54" s="1">
        <v>4</v>
      </c>
      <c r="H54" s="1">
        <v>4</v>
      </c>
      <c r="I54" s="13">
        <f>(1*64*H54)/G54</f>
        <v>64</v>
      </c>
      <c r="J54" s="1"/>
      <c r="K54" s="9">
        <f>E54*304/1000</f>
        <v>163.43039999999999</v>
      </c>
      <c r="L54" s="1"/>
      <c r="M54" s="10">
        <v>39.788499999999999</v>
      </c>
      <c r="N54" s="10">
        <v>2064.4375</v>
      </c>
      <c r="O54" s="10">
        <v>531.5</v>
      </c>
      <c r="P54" s="10">
        <v>13.358119812628981</v>
      </c>
      <c r="Q54" s="1"/>
      <c r="R54" s="10">
        <v>39.832699999999996</v>
      </c>
      <c r="S54" s="10">
        <v>2063.0892857142858</v>
      </c>
      <c r="T54" s="10">
        <v>561</v>
      </c>
      <c r="U54" s="10">
        <v>14.083913757339793</v>
      </c>
      <c r="V54" s="1"/>
      <c r="W54" s="10">
        <f t="shared" si="4"/>
        <v>0.11108737449262089</v>
      </c>
      <c r="X54" s="10">
        <f t="shared" si="5"/>
        <v>-6.5306616728005598E-2</v>
      </c>
      <c r="Y54" s="10">
        <f t="shared" si="6"/>
        <v>5.5503292568203193</v>
      </c>
      <c r="Z54" s="10">
        <f t="shared" si="7"/>
        <v>5.4333540564940508</v>
      </c>
    </row>
    <row r="55" spans="2:26" x14ac:dyDescent="0.25">
      <c r="B55" s="4"/>
      <c r="C55" s="1" t="s">
        <v>4</v>
      </c>
      <c r="D55" s="1"/>
      <c r="E55" s="1">
        <f>128*2.1</f>
        <v>268.8</v>
      </c>
      <c r="F55" s="10">
        <v>133.999</v>
      </c>
      <c r="G55" s="1">
        <v>4</v>
      </c>
      <c r="H55" s="1">
        <v>4</v>
      </c>
      <c r="I55" s="13">
        <f>(1*64*H55)/G55</f>
        <v>64</v>
      </c>
      <c r="J55" s="1"/>
      <c r="K55" s="9">
        <f>E55*304/1000</f>
        <v>81.715199999999996</v>
      </c>
      <c r="L55" s="1"/>
      <c r="M55" s="10">
        <v>38.959000000000003</v>
      </c>
      <c r="N55" s="10">
        <v>2030.0357142857142</v>
      </c>
      <c r="O55" s="10">
        <v>742.28571428571433</v>
      </c>
      <c r="P55" s="10">
        <v>19.052993275523423</v>
      </c>
      <c r="Q55" s="1"/>
      <c r="R55" s="10">
        <v>39.160800000000002</v>
      </c>
      <c r="S55" s="10">
        <v>2038.296875</v>
      </c>
      <c r="T55" s="10">
        <v>773.125</v>
      </c>
      <c r="U55" s="10">
        <v>19.742318320487886</v>
      </c>
      <c r="V55" s="1"/>
      <c r="W55" s="10">
        <f t="shared" si="4"/>
        <v>0.51798044097640761</v>
      </c>
      <c r="X55" s="10">
        <f t="shared" si="5"/>
        <v>0.4069465702573879</v>
      </c>
      <c r="Y55" s="10">
        <f t="shared" si="6"/>
        <v>4.1546381832178527</v>
      </c>
      <c r="Z55" s="10">
        <f t="shared" si="7"/>
        <v>3.6179356964871725</v>
      </c>
    </row>
    <row r="56" spans="2:26" x14ac:dyDescent="0.25">
      <c r="B56" s="4" t="s">
        <v>20</v>
      </c>
      <c r="C56" s="1" t="s">
        <v>25</v>
      </c>
      <c r="D56" s="1"/>
      <c r="E56" s="1">
        <f>4096*2.1</f>
        <v>8601.6</v>
      </c>
      <c r="F56" s="10">
        <v>8578.4500000000007</v>
      </c>
      <c r="G56" s="1">
        <v>16</v>
      </c>
      <c r="H56" s="1">
        <v>4</v>
      </c>
      <c r="I56" s="13">
        <f>2*16*16*32*H56/G56</f>
        <v>4096</v>
      </c>
      <c r="J56" s="1"/>
      <c r="K56" s="9">
        <f t="shared" ref="K56:K63" si="10">E56*304/1000</f>
        <v>2614.8863999999999</v>
      </c>
      <c r="L56" s="1"/>
      <c r="M56" s="10">
        <v>2455.8449999999998</v>
      </c>
      <c r="N56" s="10">
        <v>2000.1458333333333</v>
      </c>
      <c r="O56" s="10">
        <v>750</v>
      </c>
      <c r="P56" s="10">
        <v>0.3053939557380666</v>
      </c>
      <c r="Q56" s="10"/>
      <c r="R56" s="10">
        <v>2505.2249999999999</v>
      </c>
      <c r="S56" s="10">
        <v>2038.875</v>
      </c>
      <c r="T56" s="10">
        <v>786.85714285714289</v>
      </c>
      <c r="U56" s="10">
        <v>0.31408668147528651</v>
      </c>
      <c r="V56" s="1"/>
      <c r="W56" s="10">
        <f t="shared" ref="W56:W63" si="11">(R56-M56)/M56*100</f>
        <v>2.0107132168357578</v>
      </c>
      <c r="X56" s="10">
        <f t="shared" ref="X56:X63" si="12">(S56-N56)/N56*100</f>
        <v>1.9363171435416204</v>
      </c>
      <c r="Y56" s="10">
        <f t="shared" ref="Y56:Y63" si="13">(T56-O56)/O56*100</f>
        <v>4.914285714285719</v>
      </c>
      <c r="Z56" s="10">
        <f t="shared" ref="Z56:Z63" si="14">(U56-P56)/P56*100</f>
        <v>2.8463974397304623</v>
      </c>
    </row>
    <row r="57" spans="2:26" x14ac:dyDescent="0.25">
      <c r="B57" s="4"/>
      <c r="C57" s="1" t="s">
        <v>22</v>
      </c>
      <c r="D57" s="1"/>
      <c r="E57" s="1">
        <f>4096*2.1</f>
        <v>8601.6</v>
      </c>
      <c r="F57" s="10">
        <v>8575.875</v>
      </c>
      <c r="G57" s="1">
        <v>16</v>
      </c>
      <c r="H57" s="1">
        <v>4</v>
      </c>
      <c r="I57" s="13">
        <f>2*16*16*32*H57/G57</f>
        <v>4096</v>
      </c>
      <c r="J57" s="1"/>
      <c r="K57" s="9">
        <f t="shared" si="10"/>
        <v>2614.8863999999999</v>
      </c>
      <c r="L57" s="1"/>
      <c r="M57" s="10">
        <v>2401.0100000000002</v>
      </c>
      <c r="N57" s="10">
        <v>1954.0892857142858</v>
      </c>
      <c r="O57" s="10">
        <v>750</v>
      </c>
      <c r="P57" s="10">
        <v>0.31236837677876189</v>
      </c>
      <c r="Q57" s="10"/>
      <c r="R57" s="10">
        <v>2496.1374999999998</v>
      </c>
      <c r="S57" s="10">
        <v>2033.84375</v>
      </c>
      <c r="T57" s="10">
        <v>815.75</v>
      </c>
      <c r="U57" s="10">
        <v>0.32680491108593701</v>
      </c>
      <c r="V57" s="1"/>
      <c r="W57" s="10">
        <f t="shared" si="11"/>
        <v>3.9619785007142658</v>
      </c>
      <c r="X57" s="10">
        <f t="shared" si="12"/>
        <v>4.0814135192681977</v>
      </c>
      <c r="Y57" s="10">
        <f t="shared" si="13"/>
        <v>8.7666666666666675</v>
      </c>
      <c r="Z57" s="10">
        <f t="shared" si="14"/>
        <v>4.6216375857406149</v>
      </c>
    </row>
    <row r="58" spans="2:26" x14ac:dyDescent="0.25">
      <c r="B58" s="4"/>
      <c r="C58" s="1" t="s">
        <v>21</v>
      </c>
      <c r="D58" s="1"/>
      <c r="E58" s="1">
        <f>4096*2.1</f>
        <v>8601.6</v>
      </c>
      <c r="F58" s="10">
        <v>8576.4500000000007</v>
      </c>
      <c r="G58" s="1">
        <v>16</v>
      </c>
      <c r="H58" s="1">
        <v>4</v>
      </c>
      <c r="I58" s="13">
        <f>2*16*16*32*H58/G58</f>
        <v>4096</v>
      </c>
      <c r="J58" s="1"/>
      <c r="K58" s="9">
        <f t="shared" si="10"/>
        <v>2614.8863999999999</v>
      </c>
      <c r="L58" s="1"/>
      <c r="M58" s="10">
        <v>2404.66</v>
      </c>
      <c r="N58" s="10">
        <v>1957.9464285714287</v>
      </c>
      <c r="O58" s="10">
        <v>748.28571428571433</v>
      </c>
      <c r="P58" s="10">
        <v>0.31118146856294049</v>
      </c>
      <c r="Q58" s="10"/>
      <c r="R58" s="10">
        <v>2496.1875</v>
      </c>
      <c r="S58" s="10">
        <v>2031.6785714285713</v>
      </c>
      <c r="T58" s="10">
        <v>831</v>
      </c>
      <c r="U58" s="10">
        <v>0.33290735782100606</v>
      </c>
      <c r="V58" s="1"/>
      <c r="W58" s="10">
        <f t="shared" si="11"/>
        <v>3.8062553541872925</v>
      </c>
      <c r="X58" s="10">
        <f t="shared" si="12"/>
        <v>3.7657895936887127</v>
      </c>
      <c r="Y58" s="10">
        <f t="shared" si="13"/>
        <v>11.053837342497129</v>
      </c>
      <c r="Z58" s="10">
        <f t="shared" si="14"/>
        <v>6.9817426334535169</v>
      </c>
    </row>
    <row r="59" spans="2:26" x14ac:dyDescent="0.25">
      <c r="B59" s="4"/>
      <c r="C59" s="1" t="s">
        <v>23</v>
      </c>
      <c r="D59" s="1"/>
      <c r="E59" s="1">
        <f>2048*2.1</f>
        <v>4300.8</v>
      </c>
      <c r="F59" s="10">
        <v>4288.3999999999996</v>
      </c>
      <c r="G59" s="1">
        <v>16</v>
      </c>
      <c r="H59" s="1">
        <v>4</v>
      </c>
      <c r="I59" s="13">
        <f>2*16*16*16*H59/G59</f>
        <v>2048</v>
      </c>
      <c r="J59" s="1"/>
      <c r="K59" s="9">
        <f t="shared" si="10"/>
        <v>1307.4431999999999</v>
      </c>
      <c r="L59" s="1"/>
      <c r="M59" s="10">
        <v>1252.0425</v>
      </c>
      <c r="N59" s="10">
        <v>2037.0208333333333</v>
      </c>
      <c r="O59" s="10">
        <v>731</v>
      </c>
      <c r="P59" s="10">
        <v>0.58384598021707246</v>
      </c>
      <c r="Q59" s="10"/>
      <c r="R59" s="10">
        <v>1255.1375</v>
      </c>
      <c r="S59" s="10">
        <v>2041.234375</v>
      </c>
      <c r="T59" s="10">
        <v>767.125</v>
      </c>
      <c r="U59" s="10">
        <v>0.61118840211094072</v>
      </c>
      <c r="V59" s="1"/>
      <c r="W59" s="10">
        <f t="shared" si="11"/>
        <v>0.24719608160266343</v>
      </c>
      <c r="X59" s="10">
        <f t="shared" si="12"/>
        <v>0.20684823629279242</v>
      </c>
      <c r="Y59" s="10">
        <f t="shared" si="13"/>
        <v>4.941860465116279</v>
      </c>
      <c r="Z59" s="10">
        <f t="shared" si="14"/>
        <v>4.683156657805954</v>
      </c>
    </row>
    <row r="60" spans="2:26" x14ac:dyDescent="0.25">
      <c r="B60" s="4"/>
      <c r="C60" s="1" t="s">
        <v>2</v>
      </c>
      <c r="D60" s="1"/>
      <c r="E60" s="1">
        <f>2048*2.1</f>
        <v>4300.8</v>
      </c>
      <c r="F60" s="10">
        <v>4288.1750000000002</v>
      </c>
      <c r="G60" s="1">
        <v>16</v>
      </c>
      <c r="H60" s="1">
        <v>4</v>
      </c>
      <c r="I60" s="13">
        <f>2*16*16*16*H60/G60</f>
        <v>2048</v>
      </c>
      <c r="J60" s="1"/>
      <c r="K60" s="9">
        <f t="shared" si="10"/>
        <v>1307.4431999999999</v>
      </c>
      <c r="L60" s="1"/>
      <c r="M60" s="10">
        <v>1245.6949999999999</v>
      </c>
      <c r="N60" s="10">
        <v>2027.25</v>
      </c>
      <c r="O60" s="10">
        <v>745.5</v>
      </c>
      <c r="P60" s="10">
        <v>0.59846103791914518</v>
      </c>
      <c r="Q60" s="10"/>
      <c r="R60" s="10">
        <v>1254.885</v>
      </c>
      <c r="S60" s="10">
        <v>2041.4285714285713</v>
      </c>
      <c r="T60" s="10">
        <v>760.28571428571433</v>
      </c>
      <c r="U60" s="10">
        <v>0.60586020330980761</v>
      </c>
      <c r="V60" s="1"/>
      <c r="W60" s="10">
        <f t="shared" si="11"/>
        <v>0.73774077924371972</v>
      </c>
      <c r="X60" s="10">
        <f t="shared" si="12"/>
        <v>0.69939925655796431</v>
      </c>
      <c r="Y60" s="10">
        <f t="shared" si="13"/>
        <v>1.9833285426846858</v>
      </c>
      <c r="Z60" s="10">
        <f t="shared" si="14"/>
        <v>1.2363654309709786</v>
      </c>
    </row>
    <row r="61" spans="2:26" x14ac:dyDescent="0.25">
      <c r="B61" s="4"/>
      <c r="C61" s="1" t="s">
        <v>24</v>
      </c>
      <c r="D61" s="1"/>
      <c r="E61" s="1">
        <f>1024*2.1</f>
        <v>2150.4</v>
      </c>
      <c r="F61" s="10">
        <v>2143.7600000000002</v>
      </c>
      <c r="G61" s="1">
        <v>16</v>
      </c>
      <c r="H61" s="1">
        <v>4</v>
      </c>
      <c r="I61" s="13">
        <f>2*16*16*8*H61/G61</f>
        <v>1024</v>
      </c>
      <c r="J61" s="1"/>
      <c r="K61" s="9">
        <f t="shared" si="10"/>
        <v>653.72159999999997</v>
      </c>
      <c r="L61" s="1"/>
      <c r="M61" s="10">
        <v>624.86</v>
      </c>
      <c r="N61" s="10">
        <v>2033.6785714285713</v>
      </c>
      <c r="O61" s="10">
        <v>739.14285714285711</v>
      </c>
      <c r="P61" s="10">
        <v>1.182894029745132</v>
      </c>
      <c r="Q61" s="10"/>
      <c r="R61" s="10">
        <v>628.04250000000002</v>
      </c>
      <c r="S61" s="10">
        <v>2042.1607142857142</v>
      </c>
      <c r="T61" s="10">
        <v>761.42857142857144</v>
      </c>
      <c r="U61" s="10">
        <v>1.2123829198718967</v>
      </c>
      <c r="V61" s="1"/>
      <c r="W61" s="10">
        <f t="shared" si="11"/>
        <v>0.50931408635534436</v>
      </c>
      <c r="X61" s="10">
        <f t="shared" si="12"/>
        <v>0.41708375041708534</v>
      </c>
      <c r="Y61" s="10">
        <f t="shared" si="13"/>
        <v>3.0150753768844289</v>
      </c>
      <c r="Z61" s="10">
        <f t="shared" si="14"/>
        <v>2.4929443707749894</v>
      </c>
    </row>
    <row r="62" spans="2:26" x14ac:dyDescent="0.25">
      <c r="B62" s="4"/>
      <c r="C62" s="1" t="s">
        <v>3</v>
      </c>
      <c r="D62" s="1"/>
      <c r="E62" s="1">
        <f>256*2.1</f>
        <v>537.6</v>
      </c>
      <c r="F62" s="10">
        <v>536.40750000000003</v>
      </c>
      <c r="G62" s="1">
        <v>32</v>
      </c>
      <c r="H62" s="1">
        <v>4</v>
      </c>
      <c r="I62" s="13">
        <f>2*16*16*4*H62/G62</f>
        <v>256</v>
      </c>
      <c r="J62" s="1"/>
      <c r="K62" s="9">
        <f t="shared" si="10"/>
        <v>163.43039999999999</v>
      </c>
      <c r="L62" s="1"/>
      <c r="M62" s="10">
        <v>159.34450000000001</v>
      </c>
      <c r="N62" s="10">
        <v>2065.5096153846152</v>
      </c>
      <c r="O62" s="10">
        <v>514.15384615384619</v>
      </c>
      <c r="P62" s="10">
        <v>3.2266755119355439</v>
      </c>
      <c r="Q62" s="10"/>
      <c r="R62" s="10">
        <v>159.66550000000001</v>
      </c>
      <c r="S62" s="10">
        <v>2068.1826923076924</v>
      </c>
      <c r="T62" s="10">
        <v>541.30769230769226</v>
      </c>
      <c r="U62" s="10">
        <v>3.3902629317491324</v>
      </c>
      <c r="V62" s="1"/>
      <c r="W62" s="10">
        <f t="shared" si="11"/>
        <v>0.20145031676650146</v>
      </c>
      <c r="X62" s="10">
        <f t="shared" si="12"/>
        <v>0.1294148864361197</v>
      </c>
      <c r="Y62" s="10">
        <f t="shared" si="13"/>
        <v>5.2812687013764057</v>
      </c>
      <c r="Z62" s="10">
        <f t="shared" si="14"/>
        <v>5.0698441540983907</v>
      </c>
    </row>
    <row r="63" spans="2:26" x14ac:dyDescent="0.25">
      <c r="B63" s="4"/>
      <c r="C63" s="1" t="s">
        <v>4</v>
      </c>
      <c r="D63" s="1"/>
      <c r="E63" s="1">
        <f>256*2.1</f>
        <v>537.6</v>
      </c>
      <c r="F63" s="10">
        <v>536.03250000000003</v>
      </c>
      <c r="G63" s="1">
        <v>32</v>
      </c>
      <c r="H63" s="1">
        <v>4</v>
      </c>
      <c r="I63" s="13">
        <f>2*16*16*4*H63/G63</f>
        <v>256</v>
      </c>
      <c r="J63" s="1"/>
      <c r="K63" s="9">
        <f t="shared" si="10"/>
        <v>163.43039999999999</v>
      </c>
      <c r="L63" s="1"/>
      <c r="M63" s="10">
        <v>157.96875</v>
      </c>
      <c r="N63" s="10">
        <v>2041.0865384615386</v>
      </c>
      <c r="O63" s="10">
        <v>635.84615384615381</v>
      </c>
      <c r="P63" s="10">
        <v>4.0251444822300018</v>
      </c>
      <c r="Q63" s="10"/>
      <c r="R63" s="10">
        <v>158.28649999999999</v>
      </c>
      <c r="S63" s="10">
        <v>2055.8660714285716</v>
      </c>
      <c r="T63" s="10">
        <v>656</v>
      </c>
      <c r="U63" s="10">
        <v>4.1082839452839153</v>
      </c>
      <c r="V63" s="1"/>
      <c r="W63" s="10">
        <f t="shared" si="11"/>
        <v>0.20114737883283215</v>
      </c>
      <c r="X63" s="10">
        <f t="shared" si="12"/>
        <v>0.7241012415952246</v>
      </c>
      <c r="Y63" s="10">
        <f t="shared" si="13"/>
        <v>3.1696104524558488</v>
      </c>
      <c r="Z63" s="10">
        <f t="shared" si="14"/>
        <v>2.0655025781298852</v>
      </c>
    </row>
    <row r="67" spans="2:26" x14ac:dyDescent="0.25">
      <c r="B67" t="s">
        <v>43</v>
      </c>
    </row>
    <row r="69" spans="2:26" x14ac:dyDescent="0.25">
      <c r="E69" s="2" t="s">
        <v>14</v>
      </c>
      <c r="F69" s="2"/>
      <c r="G69" s="2"/>
      <c r="H69" s="2"/>
      <c r="I69" s="1"/>
      <c r="J69" s="6"/>
      <c r="K69" s="3" t="s">
        <v>42</v>
      </c>
      <c r="L69" s="7"/>
      <c r="M69" s="2" t="s">
        <v>13</v>
      </c>
      <c r="N69" s="2"/>
      <c r="O69" s="2"/>
      <c r="P69" s="2"/>
      <c r="Q69" s="6"/>
      <c r="R69" s="2" t="s">
        <v>18</v>
      </c>
      <c r="S69" s="2"/>
      <c r="T69" s="2"/>
      <c r="U69" s="2"/>
      <c r="W69" s="2" t="s">
        <v>32</v>
      </c>
      <c r="X69" s="2"/>
      <c r="Y69" s="2"/>
      <c r="Z69" s="2"/>
    </row>
    <row r="70" spans="2:26" x14ac:dyDescent="0.25">
      <c r="B70" t="s">
        <v>0</v>
      </c>
      <c r="C70" t="s">
        <v>1</v>
      </c>
      <c r="E70" s="2" t="s">
        <v>11</v>
      </c>
      <c r="F70" s="2"/>
      <c r="G70" s="3" t="s">
        <v>26</v>
      </c>
      <c r="H70" s="5" t="s">
        <v>28</v>
      </c>
      <c r="I70" s="5" t="s">
        <v>29</v>
      </c>
      <c r="K70" s="3"/>
      <c r="L70" s="7"/>
      <c r="M70" s="5" t="s">
        <v>17</v>
      </c>
      <c r="N70" s="5" t="s">
        <v>19</v>
      </c>
      <c r="O70" s="5" t="s">
        <v>30</v>
      </c>
      <c r="P70" s="5" t="s">
        <v>31</v>
      </c>
      <c r="Q70" s="1"/>
      <c r="R70" s="5" t="s">
        <v>17</v>
      </c>
      <c r="S70" s="5" t="s">
        <v>19</v>
      </c>
      <c r="T70" s="5" t="s">
        <v>15</v>
      </c>
      <c r="U70" s="5" t="s">
        <v>31</v>
      </c>
      <c r="W70" s="4" t="s">
        <v>33</v>
      </c>
      <c r="X70" s="3" t="s">
        <v>34</v>
      </c>
      <c r="Y70" s="2" t="s">
        <v>35</v>
      </c>
      <c r="Z70" s="5" t="s">
        <v>31</v>
      </c>
    </row>
    <row r="71" spans="2:26" x14ac:dyDescent="0.25">
      <c r="E71" s="1" t="s">
        <v>5</v>
      </c>
      <c r="F71" s="1" t="s">
        <v>6</v>
      </c>
      <c r="G71" s="3"/>
      <c r="H71" s="5"/>
      <c r="I71" s="5"/>
      <c r="K71" s="3"/>
      <c r="L71" s="7"/>
      <c r="M71" s="5"/>
      <c r="N71" s="5"/>
      <c r="O71" s="5"/>
      <c r="P71" s="5"/>
      <c r="Q71" s="1"/>
      <c r="R71" s="5"/>
      <c r="S71" s="5"/>
      <c r="T71" s="5"/>
      <c r="U71" s="5"/>
      <c r="W71" s="4"/>
      <c r="X71" s="3"/>
      <c r="Y71" s="2"/>
      <c r="Z71" s="5"/>
    </row>
    <row r="72" spans="2:26" x14ac:dyDescent="0.25">
      <c r="B72" s="4" t="s">
        <v>7</v>
      </c>
      <c r="C72" s="1" t="s">
        <v>2</v>
      </c>
      <c r="D72" s="1"/>
      <c r="E72" s="1" t="s">
        <v>12</v>
      </c>
      <c r="F72" s="10">
        <v>134.047</v>
      </c>
      <c r="G72" s="1">
        <v>8</v>
      </c>
      <c r="H72" s="1">
        <v>4</v>
      </c>
      <c r="I72" s="13">
        <f>(2*64*H72)/G72</f>
        <v>64</v>
      </c>
      <c r="J72" s="1"/>
      <c r="K72" s="9" t="s">
        <v>12</v>
      </c>
      <c r="L72" s="1"/>
      <c r="M72" s="10">
        <v>39.568800000000003</v>
      </c>
      <c r="N72" s="10">
        <v>2056.9326923076924</v>
      </c>
      <c r="O72" s="10">
        <v>590.76923076923072</v>
      </c>
      <c r="P72" s="10">
        <v>14.930176652349562</v>
      </c>
      <c r="Q72" s="1"/>
      <c r="R72" s="10">
        <v>39.6434</v>
      </c>
      <c r="S72" s="10">
        <v>2058.75</v>
      </c>
      <c r="T72" s="10">
        <v>639.78571428571433</v>
      </c>
      <c r="U72" s="10">
        <v>16.138508573291801</v>
      </c>
      <c r="V72" s="1"/>
      <c r="W72" s="10">
        <f>(R72-M72)/M72*100</f>
        <v>0.18853237904610873</v>
      </c>
      <c r="X72" s="10">
        <f>(S72-N72)/N72*100</f>
        <v>8.8350372333708571E-2</v>
      </c>
      <c r="Y72" s="10">
        <f>(T72-O72)/O72*100</f>
        <v>8.2970610119047805</v>
      </c>
      <c r="Z72" s="10">
        <f>(U72-P72)/P72*100</f>
        <v>8.0932191833918043</v>
      </c>
    </row>
    <row r="73" spans="2:26" x14ac:dyDescent="0.25">
      <c r="B73" s="4"/>
      <c r="C73" s="1" t="s">
        <v>3</v>
      </c>
      <c r="D73" s="1"/>
      <c r="E73" s="1">
        <f>256*2.1</f>
        <v>537.6</v>
      </c>
      <c r="F73" s="10">
        <v>534.33399999999995</v>
      </c>
      <c r="G73" s="1">
        <v>4</v>
      </c>
      <c r="H73" s="1">
        <v>8</v>
      </c>
      <c r="I73" s="13">
        <f t="shared" ref="I73" si="15">(2*64*H73)/G73</f>
        <v>256</v>
      </c>
      <c r="J73" s="1"/>
      <c r="K73" s="9">
        <f>E73*304/1000</f>
        <v>163.43039999999999</v>
      </c>
      <c r="L73" s="1"/>
      <c r="M73" s="10">
        <v>140.13200000000001</v>
      </c>
      <c r="N73" s="10">
        <v>1831.7916666666667</v>
      </c>
      <c r="O73" s="10">
        <v>749.66666666666663</v>
      </c>
      <c r="P73" s="10">
        <v>5.3497133952381173</v>
      </c>
      <c r="Q73" s="1"/>
      <c r="R73" s="10">
        <v>153.94999999999999</v>
      </c>
      <c r="S73" s="10">
        <v>2015.875</v>
      </c>
      <c r="T73" s="10">
        <v>923.5</v>
      </c>
      <c r="U73" s="10">
        <v>5.9987162465428199</v>
      </c>
      <c r="V73" s="1"/>
      <c r="W73" s="10">
        <f t="shared" ref="W73:W92" si="16">(R73-M73)/M73*100</f>
        <v>9.8607027659635076</v>
      </c>
      <c r="X73" s="10">
        <f t="shared" ref="X73:X92" si="17">(S73-N73)/N73*100</f>
        <v>10.049359688829238</v>
      </c>
      <c r="Y73" s="10">
        <f t="shared" ref="Y73:Y92" si="18">(T73-O73)/O73*100</f>
        <v>23.188083592707876</v>
      </c>
      <c r="Z73" s="10">
        <f t="shared" ref="Z73:Z92" si="19">(U73-P73)/P73*100</f>
        <v>12.13154431567105</v>
      </c>
    </row>
    <row r="74" spans="2:26" x14ac:dyDescent="0.25">
      <c r="B74" s="4"/>
      <c r="C74" s="1" t="s">
        <v>4</v>
      </c>
      <c r="D74" s="1"/>
      <c r="E74" s="1">
        <f>128*2.1</f>
        <v>268.8</v>
      </c>
      <c r="F74" s="10">
        <v>255.041</v>
      </c>
      <c r="G74" s="1">
        <v>5</v>
      </c>
      <c r="H74" s="1">
        <v>4</v>
      </c>
      <c r="I74" s="13">
        <f>(2*64*H74)/G74</f>
        <v>102.4</v>
      </c>
      <c r="J74" s="1"/>
      <c r="K74" s="9">
        <f>E74*304/1000</f>
        <v>81.715199999999996</v>
      </c>
      <c r="L74" s="1"/>
      <c r="M74" s="10">
        <v>69.975300000000004</v>
      </c>
      <c r="N74" s="10">
        <v>1909.6071428571429</v>
      </c>
      <c r="O74" s="10">
        <v>745.71428571428567</v>
      </c>
      <c r="P74" s="10">
        <v>10.656816157347921</v>
      </c>
      <c r="Q74" s="1"/>
      <c r="R74" s="10">
        <v>74.041899999999998</v>
      </c>
      <c r="S74" s="10">
        <v>2026.109375</v>
      </c>
      <c r="T74" s="10">
        <v>858.125</v>
      </c>
      <c r="U74" s="10">
        <v>11.589717564600289</v>
      </c>
      <c r="V74" s="1"/>
      <c r="W74" s="10">
        <f t="shared" si="16"/>
        <v>5.8114791933725094</v>
      </c>
      <c r="X74" s="10">
        <f t="shared" si="17"/>
        <v>6.1008481550057025</v>
      </c>
      <c r="Y74" s="10">
        <f t="shared" si="18"/>
        <v>15.074233716475103</v>
      </c>
      <c r="Z74" s="10">
        <f t="shared" si="19"/>
        <v>8.7540349151010588</v>
      </c>
    </row>
    <row r="75" spans="2:26" x14ac:dyDescent="0.25">
      <c r="B75" s="5" t="s">
        <v>37</v>
      </c>
      <c r="C75" s="1" t="s">
        <v>2</v>
      </c>
      <c r="D75" s="1"/>
      <c r="E75" s="1" t="s">
        <v>12</v>
      </c>
      <c r="F75" s="10">
        <v>133.96799999999999</v>
      </c>
      <c r="G75" s="1">
        <v>8</v>
      </c>
      <c r="H75" s="1">
        <v>4</v>
      </c>
      <c r="I75" s="13">
        <f t="shared" ref="I75:I80" si="20">(2*64*H75)/G75</f>
        <v>64</v>
      </c>
      <c r="J75" s="1"/>
      <c r="K75" s="9" t="s">
        <v>12</v>
      </c>
      <c r="L75" s="1"/>
      <c r="M75" s="10">
        <v>39.675199999999997</v>
      </c>
      <c r="N75" s="10">
        <v>2058.8229166666665</v>
      </c>
      <c r="O75" s="10">
        <v>585.91666666666663</v>
      </c>
      <c r="P75" s="10">
        <v>14.767836874621585</v>
      </c>
      <c r="Q75" s="1"/>
      <c r="R75" s="10">
        <v>39.710500000000003</v>
      </c>
      <c r="S75" s="10">
        <v>2062.2232142857142</v>
      </c>
      <c r="T75" s="10">
        <v>595.71428571428567</v>
      </c>
      <c r="U75" s="10">
        <v>15.001415888953051</v>
      </c>
      <c r="V75" s="1"/>
      <c r="W75" s="10">
        <f t="shared" si="16"/>
        <v>8.8972456345542184E-2</v>
      </c>
      <c r="X75" s="10">
        <f t="shared" si="17"/>
        <v>0.1651573620791511</v>
      </c>
      <c r="Y75" s="10">
        <f t="shared" si="18"/>
        <v>1.6721864396448363</v>
      </c>
      <c r="Z75" s="10">
        <f t="shared" si="19"/>
        <v>1.5816738518616102</v>
      </c>
    </row>
    <row r="76" spans="2:26" x14ac:dyDescent="0.25">
      <c r="B76" s="4"/>
      <c r="C76" s="1" t="s">
        <v>3</v>
      </c>
      <c r="D76" s="1"/>
      <c r="E76" s="1">
        <f>256*2.1</f>
        <v>537.6</v>
      </c>
      <c r="F76" s="10">
        <v>267.79399999999998</v>
      </c>
      <c r="G76" s="1">
        <v>4</v>
      </c>
      <c r="H76" s="1">
        <v>4</v>
      </c>
      <c r="I76" s="13">
        <f t="shared" si="20"/>
        <v>128</v>
      </c>
      <c r="J76" s="1"/>
      <c r="K76" s="9">
        <f>E76*304/1000</f>
        <v>163.43039999999999</v>
      </c>
      <c r="L76" s="1"/>
      <c r="M76" s="10">
        <v>79.270699999999991</v>
      </c>
      <c r="N76" s="10">
        <v>2058.375</v>
      </c>
      <c r="O76" s="10">
        <v>582</v>
      </c>
      <c r="P76" s="10">
        <v>7.3419245812769276</v>
      </c>
      <c r="Q76" s="1"/>
      <c r="R76" s="10">
        <v>79.278000000000006</v>
      </c>
      <c r="S76" s="10">
        <v>2059.1964285714284</v>
      </c>
      <c r="T76" s="10">
        <v>625.71428571428567</v>
      </c>
      <c r="U76" s="10">
        <v>7.8926591738438994</v>
      </c>
      <c r="V76" s="1"/>
      <c r="W76" s="10">
        <f t="shared" si="16"/>
        <v>9.2089511004885324E-3</v>
      </c>
      <c r="X76" s="10">
        <f t="shared" si="17"/>
        <v>3.9906653133099726E-2</v>
      </c>
      <c r="Y76" s="10">
        <f t="shared" si="18"/>
        <v>7.5110456553755434</v>
      </c>
      <c r="Z76" s="10">
        <f t="shared" si="19"/>
        <v>7.5012292277073014</v>
      </c>
    </row>
    <row r="77" spans="2:26" x14ac:dyDescent="0.25">
      <c r="B77" s="4"/>
      <c r="C77" s="1" t="s">
        <v>4</v>
      </c>
      <c r="D77" s="1"/>
      <c r="E77" s="1">
        <f>128*2.1</f>
        <v>268.8</v>
      </c>
      <c r="F77" s="10">
        <v>267.80700000000002</v>
      </c>
      <c r="G77" s="1">
        <v>4</v>
      </c>
      <c r="H77" s="1">
        <v>4</v>
      </c>
      <c r="I77" s="13">
        <f t="shared" si="20"/>
        <v>128</v>
      </c>
      <c r="J77" s="1"/>
      <c r="K77" s="9">
        <f>E77*304/1000</f>
        <v>81.715199999999996</v>
      </c>
      <c r="L77" s="1"/>
      <c r="M77" s="10">
        <v>73.558700000000002</v>
      </c>
      <c r="N77" s="10">
        <v>1916.0714285714287</v>
      </c>
      <c r="O77" s="10">
        <v>750</v>
      </c>
      <c r="P77" s="10">
        <v>10.195947945583997</v>
      </c>
      <c r="Q77" s="1"/>
      <c r="R77" s="10">
        <v>77.692899999999995</v>
      </c>
      <c r="S77" s="10">
        <v>2026.0625</v>
      </c>
      <c r="T77" s="10">
        <v>853.375</v>
      </c>
      <c r="U77" s="10">
        <v>10.983951733653372</v>
      </c>
      <c r="V77" s="1"/>
      <c r="W77" s="10">
        <f t="shared" si="16"/>
        <v>5.6202733327260983</v>
      </c>
      <c r="X77" s="10">
        <f t="shared" si="17"/>
        <v>5.7404473438956147</v>
      </c>
      <c r="Y77" s="10">
        <f t="shared" si="18"/>
        <v>13.783333333333333</v>
      </c>
      <c r="Z77" s="10">
        <f t="shared" si="19"/>
        <v>7.728597598526088</v>
      </c>
    </row>
    <row r="78" spans="2:26" x14ac:dyDescent="0.25">
      <c r="B78" s="14" t="s">
        <v>36</v>
      </c>
      <c r="C78" s="15" t="s">
        <v>2</v>
      </c>
      <c r="D78" s="15"/>
      <c r="E78" s="15" t="s">
        <v>12</v>
      </c>
      <c r="F78" s="16">
        <v>134.02799999999999</v>
      </c>
      <c r="G78" s="15">
        <v>8</v>
      </c>
      <c r="H78" s="15">
        <v>4</v>
      </c>
      <c r="I78" s="17">
        <f t="shared" si="20"/>
        <v>64</v>
      </c>
      <c r="J78" s="15"/>
      <c r="K78" s="18" t="s">
        <v>12</v>
      </c>
      <c r="L78" s="15"/>
      <c r="M78" s="16">
        <v>39.638599999999997</v>
      </c>
      <c r="N78" s="16">
        <v>2055.3461538461538</v>
      </c>
      <c r="O78" s="16">
        <v>602.69230769230774</v>
      </c>
      <c r="P78" s="16">
        <v>15.204635492170242</v>
      </c>
      <c r="Q78" s="15"/>
      <c r="R78" s="16">
        <v>39.762999999999998</v>
      </c>
      <c r="S78" s="16">
        <v>2059.6916666666666</v>
      </c>
      <c r="T78" s="16">
        <v>632.4</v>
      </c>
      <c r="U78" s="16">
        <v>15.904243020103376</v>
      </c>
      <c r="V78" s="15"/>
      <c r="W78" s="10">
        <f t="shared" si="16"/>
        <v>0.31383550377662534</v>
      </c>
      <c r="X78" s="10">
        <f t="shared" si="17"/>
        <v>0.21142486448723344</v>
      </c>
      <c r="Y78" s="10">
        <f t="shared" si="18"/>
        <v>4.9291640076579339</v>
      </c>
      <c r="Z78" s="10">
        <f t="shared" si="19"/>
        <v>4.6012778688012803</v>
      </c>
    </row>
    <row r="79" spans="2:26" x14ac:dyDescent="0.25">
      <c r="B79" s="19"/>
      <c r="C79" s="15" t="s">
        <v>3</v>
      </c>
      <c r="D79" s="15"/>
      <c r="E79" s="15">
        <f>256*2.1</f>
        <v>537.6</v>
      </c>
      <c r="F79" s="16">
        <v>255.34800000000001</v>
      </c>
      <c r="G79" s="15">
        <v>5</v>
      </c>
      <c r="H79" s="15">
        <v>4</v>
      </c>
      <c r="I79" s="17">
        <f t="shared" si="20"/>
        <v>102.4</v>
      </c>
      <c r="J79" s="15"/>
      <c r="K79" s="18">
        <f>E79*304/1000</f>
        <v>163.43039999999999</v>
      </c>
      <c r="L79" s="15"/>
      <c r="M79" s="16">
        <v>75.516899999999993</v>
      </c>
      <c r="N79" s="16">
        <v>2056.0714285714284</v>
      </c>
      <c r="O79" s="16">
        <v>604.28571428571433</v>
      </c>
      <c r="P79" s="16">
        <v>8.0019987508353392</v>
      </c>
      <c r="Q79" s="15"/>
      <c r="R79" s="16">
        <v>75.777100000000004</v>
      </c>
      <c r="S79" s="16">
        <v>2060.8928571428573</v>
      </c>
      <c r="T79" s="16">
        <v>620.28571428571433</v>
      </c>
      <c r="U79" s="16">
        <v>8.185664675276124</v>
      </c>
      <c r="V79" s="15"/>
      <c r="W79" s="10">
        <f t="shared" si="16"/>
        <v>0.34455863521941682</v>
      </c>
      <c r="X79" s="10">
        <f t="shared" si="17"/>
        <v>0.23449713392393454</v>
      </c>
      <c r="Y79" s="10">
        <f t="shared" si="18"/>
        <v>2.6477541371158391</v>
      </c>
      <c r="Z79" s="10">
        <f t="shared" si="19"/>
        <v>2.2952506012527389</v>
      </c>
    </row>
    <row r="80" spans="2:26" x14ac:dyDescent="0.25">
      <c r="B80" s="19"/>
      <c r="C80" s="15" t="s">
        <v>4</v>
      </c>
      <c r="D80" s="15"/>
      <c r="E80" s="15">
        <f>128*2.1</f>
        <v>268.8</v>
      </c>
      <c r="F80" s="16">
        <v>255.28800000000001</v>
      </c>
      <c r="G80" s="15">
        <v>5</v>
      </c>
      <c r="H80" s="15">
        <v>4</v>
      </c>
      <c r="I80" s="17">
        <f t="shared" si="20"/>
        <v>102.4</v>
      </c>
      <c r="J80" s="15"/>
      <c r="K80" s="18">
        <f>E80*304/1000</f>
        <v>81.715199999999996</v>
      </c>
      <c r="L80" s="15"/>
      <c r="M80" s="16">
        <v>70.171700000000001</v>
      </c>
      <c r="N80" s="16">
        <v>1924.390625</v>
      </c>
      <c r="O80" s="16">
        <v>747.75</v>
      </c>
      <c r="P80" s="16">
        <v>10.656009363317839</v>
      </c>
      <c r="Q80" s="15"/>
      <c r="R80" s="16">
        <v>74.379899999999992</v>
      </c>
      <c r="S80" s="16">
        <v>2031.53125</v>
      </c>
      <c r="T80" s="16">
        <v>842.5</v>
      </c>
      <c r="U80" s="16">
        <v>11.326979251622873</v>
      </c>
      <c r="V80" s="15"/>
      <c r="W80" s="10">
        <f t="shared" si="16"/>
        <v>5.9970044904142137</v>
      </c>
      <c r="X80" s="10">
        <f t="shared" si="17"/>
        <v>5.5675091952809739</v>
      </c>
      <c r="Y80" s="10">
        <f t="shared" si="18"/>
        <v>12.671347375459712</v>
      </c>
      <c r="Z80" s="10">
        <f t="shared" si="19"/>
        <v>6.2966338094143923</v>
      </c>
    </row>
    <row r="81" spans="2:26" x14ac:dyDescent="0.25">
      <c r="B81" s="11" t="s">
        <v>9</v>
      </c>
      <c r="C81" s="1" t="s">
        <v>2</v>
      </c>
      <c r="D81" s="1"/>
      <c r="E81" s="1" t="s">
        <v>12</v>
      </c>
      <c r="F81" s="10">
        <f>AVERAGE(F44,F47)</f>
        <v>267.16200000000003</v>
      </c>
      <c r="G81" s="1">
        <v>4</v>
      </c>
      <c r="H81" s="1">
        <v>8</v>
      </c>
      <c r="I81" s="13">
        <f>(1*64*H81)/G81</f>
        <v>128</v>
      </c>
      <c r="J81" s="1"/>
      <c r="K81" s="9" t="s">
        <v>12</v>
      </c>
      <c r="L81" s="1"/>
      <c r="M81" s="10">
        <f>AVERAGE(M44,M47)</f>
        <v>76.494550000000004</v>
      </c>
      <c r="N81" s="10">
        <f t="shared" ref="N81:P81" si="21">AVERAGE(N44,N47)</f>
        <v>1994.8489583333335</v>
      </c>
      <c r="O81" s="10">
        <f t="shared" si="21"/>
        <v>749.33333333333326</v>
      </c>
      <c r="P81" s="10">
        <f t="shared" si="21"/>
        <v>9.7963342532717732</v>
      </c>
      <c r="Q81" s="1"/>
      <c r="R81" s="10">
        <f t="shared" ref="R81:U81" si="22">AVERAGE(R44,R47)</f>
        <v>78.076999999999998</v>
      </c>
      <c r="S81" s="10">
        <f t="shared" si="22"/>
        <v>2037.125</v>
      </c>
      <c r="T81" s="10">
        <f t="shared" si="22"/>
        <v>799.875</v>
      </c>
      <c r="U81" s="10">
        <f t="shared" si="22"/>
        <v>10.244742743961261</v>
      </c>
      <c r="V81" s="1"/>
      <c r="W81" s="10">
        <f t="shared" ref="W81:Z81" si="23">AVERAGE(W44,W47)</f>
        <v>2.0719625335505962</v>
      </c>
      <c r="X81" s="10">
        <f t="shared" si="23"/>
        <v>2.1231998445211961</v>
      </c>
      <c r="Y81" s="10">
        <f t="shared" si="23"/>
        <v>6.7446274859008639</v>
      </c>
      <c r="Z81" s="10">
        <f t="shared" si="23"/>
        <v>4.5791311301563553</v>
      </c>
    </row>
    <row r="82" spans="2:26" x14ac:dyDescent="0.25">
      <c r="B82" s="12"/>
      <c r="C82" s="1" t="s">
        <v>3</v>
      </c>
      <c r="D82" s="1"/>
      <c r="E82" s="1">
        <f>256*2.1</f>
        <v>537.6</v>
      </c>
      <c r="F82" s="10">
        <f t="shared" ref="F82:F83" si="24">AVERAGE(F45,F48)</f>
        <v>267.56549999999999</v>
      </c>
      <c r="G82" s="1">
        <v>4</v>
      </c>
      <c r="H82" s="1">
        <v>8</v>
      </c>
      <c r="I82" s="13">
        <f>(1*64*H82)/G82</f>
        <v>128</v>
      </c>
      <c r="J82" s="1"/>
      <c r="K82" s="9">
        <f>E82*304/1000</f>
        <v>163.43039999999999</v>
      </c>
      <c r="L82" s="1"/>
      <c r="M82" s="10">
        <f t="shared" ref="M82:P83" si="25">AVERAGE(M45,M48)</f>
        <v>75.505799999999994</v>
      </c>
      <c r="N82" s="10">
        <f t="shared" si="25"/>
        <v>1969.9791666666665</v>
      </c>
      <c r="O82" s="10">
        <f t="shared" si="25"/>
        <v>750</v>
      </c>
      <c r="P82" s="10">
        <f t="shared" si="25"/>
        <v>9.9330172157638827</v>
      </c>
      <c r="Q82" s="1"/>
      <c r="R82" s="10">
        <f t="shared" ref="R82:U82" si="26">AVERAGE(R45,R48)</f>
        <v>77.9756</v>
      </c>
      <c r="S82" s="10">
        <f t="shared" si="26"/>
        <v>2033.875</v>
      </c>
      <c r="T82" s="10">
        <f t="shared" si="26"/>
        <v>814.625</v>
      </c>
      <c r="U82" s="10">
        <f t="shared" si="26"/>
        <v>10.447216081238846</v>
      </c>
      <c r="V82" s="1"/>
      <c r="W82" s="10">
        <f t="shared" ref="W82:Z82" si="27">AVERAGE(W45,W48)</f>
        <v>3.271001099033426</v>
      </c>
      <c r="X82" s="10">
        <f t="shared" si="27"/>
        <v>3.2438688459383753</v>
      </c>
      <c r="Y82" s="10">
        <f t="shared" si="27"/>
        <v>8.6166666666666671</v>
      </c>
      <c r="Z82" s="10">
        <f t="shared" si="27"/>
        <v>5.1763911189016323</v>
      </c>
    </row>
    <row r="83" spans="2:26" x14ac:dyDescent="0.25">
      <c r="B83" s="12"/>
      <c r="C83" s="1" t="s">
        <v>4</v>
      </c>
      <c r="D83" s="1"/>
      <c r="E83" s="1">
        <f>128*2.1</f>
        <v>268.8</v>
      </c>
      <c r="F83" s="10">
        <f t="shared" si="24"/>
        <v>214.459</v>
      </c>
      <c r="G83" s="1">
        <v>5</v>
      </c>
      <c r="H83" s="1">
        <v>8</v>
      </c>
      <c r="I83" s="13">
        <f>(1*64*H83)/G83</f>
        <v>102.4</v>
      </c>
      <c r="J83" s="1"/>
      <c r="K83" s="9">
        <f>E83*304/1000</f>
        <v>81.715199999999996</v>
      </c>
      <c r="L83" s="1"/>
      <c r="M83" s="10">
        <f t="shared" si="25"/>
        <v>53.869199999999999</v>
      </c>
      <c r="N83" s="10">
        <f t="shared" si="25"/>
        <v>1781.325</v>
      </c>
      <c r="O83" s="10">
        <f t="shared" si="25"/>
        <v>720.5</v>
      </c>
      <c r="P83" s="10">
        <f t="shared" si="25"/>
        <v>13.37456423973555</v>
      </c>
      <c r="Q83" s="1"/>
      <c r="R83" s="10">
        <f t="shared" ref="R83:U83" si="28">AVERAGE(R46,R49)</f>
        <v>59.5899</v>
      </c>
      <c r="S83" s="10">
        <f t="shared" si="28"/>
        <v>1936.234375</v>
      </c>
      <c r="T83" s="10">
        <f t="shared" si="28"/>
        <v>902.375</v>
      </c>
      <c r="U83" s="10">
        <f t="shared" si="28"/>
        <v>15.140400809568026</v>
      </c>
      <c r="V83" s="1"/>
      <c r="W83" s="10">
        <f t="shared" ref="W83:Z83" si="29">AVERAGE(W46,W49)</f>
        <v>10.620043321788263</v>
      </c>
      <c r="X83" s="10">
        <f t="shared" si="29"/>
        <v>8.6949672564932428</v>
      </c>
      <c r="Y83" s="10">
        <f t="shared" si="29"/>
        <v>25.132471175875096</v>
      </c>
      <c r="Z83" s="10">
        <f t="shared" si="29"/>
        <v>13.128601954626319</v>
      </c>
    </row>
    <row r="84" spans="2:26" x14ac:dyDescent="0.25">
      <c r="B84" s="5" t="s">
        <v>10</v>
      </c>
      <c r="C84" s="1" t="s">
        <v>2</v>
      </c>
      <c r="D84" s="1"/>
      <c r="E84" s="1" t="s">
        <v>12</v>
      </c>
      <c r="F84" s="10">
        <f>AVERAGE(F53,F50)</f>
        <v>134.0025</v>
      </c>
      <c r="G84" s="1">
        <v>4</v>
      </c>
      <c r="H84" s="1">
        <v>4</v>
      </c>
      <c r="I84" s="13">
        <f>(1*64*H84)/G84</f>
        <v>64</v>
      </c>
      <c r="J84" s="1"/>
      <c r="K84" s="9" t="s">
        <v>12</v>
      </c>
      <c r="L84" s="1"/>
      <c r="M84" s="10">
        <f t="shared" ref="M84:P86" si="30">AVERAGE(M53,M50)</f>
        <v>39.841049999999996</v>
      </c>
      <c r="N84" s="10">
        <f t="shared" si="30"/>
        <v>2065.3571428571431</v>
      </c>
      <c r="O84" s="10">
        <f t="shared" si="30"/>
        <v>529.07142857142867</v>
      </c>
      <c r="P84" s="10">
        <f t="shared" si="30"/>
        <v>13.279660525508266</v>
      </c>
      <c r="Q84" s="1"/>
      <c r="R84" s="10">
        <f t="shared" ref="R84:U86" si="31">AVERAGE(R53,R50)</f>
        <v>39.875</v>
      </c>
      <c r="S84" s="10">
        <f t="shared" si="31"/>
        <v>2068.1026785714284</v>
      </c>
      <c r="T84" s="10">
        <f t="shared" si="31"/>
        <v>552.36607142857144</v>
      </c>
      <c r="U84" s="10">
        <f t="shared" si="31"/>
        <v>13.852454017477411</v>
      </c>
      <c r="V84" s="1"/>
      <c r="W84" s="10">
        <f t="shared" ref="W84:Z86" si="32">AVERAGE(W53,W50)</f>
        <v>8.5317761491208122E-2</v>
      </c>
      <c r="X84" s="10">
        <f t="shared" si="32"/>
        <v>0.13293476142331612</v>
      </c>
      <c r="Y84" s="10">
        <f t="shared" si="32"/>
        <v>4.403922676441363</v>
      </c>
      <c r="Z84" s="10">
        <f t="shared" si="32"/>
        <v>4.3152163241920185</v>
      </c>
    </row>
    <row r="85" spans="2:26" x14ac:dyDescent="0.25">
      <c r="B85" s="4"/>
      <c r="C85" s="1" t="s">
        <v>3</v>
      </c>
      <c r="D85" s="1"/>
      <c r="E85" s="1">
        <f>256*2.1</f>
        <v>537.6</v>
      </c>
      <c r="F85" s="10">
        <f t="shared" ref="F85:F86" si="33">AVERAGE(F54,F51)</f>
        <v>134.01499999999999</v>
      </c>
      <c r="G85" s="1">
        <v>4</v>
      </c>
      <c r="H85" s="1">
        <v>4</v>
      </c>
      <c r="I85" s="13">
        <f>(1*64*H85)/G85</f>
        <v>64</v>
      </c>
      <c r="J85" s="1"/>
      <c r="K85" s="9">
        <f>E85*304/1000</f>
        <v>163.43039999999999</v>
      </c>
      <c r="L85" s="1"/>
      <c r="M85" s="10">
        <f t="shared" si="30"/>
        <v>39.828599999999994</v>
      </c>
      <c r="N85" s="10">
        <f t="shared" si="30"/>
        <v>2065.03125</v>
      </c>
      <c r="O85" s="10">
        <f t="shared" si="30"/>
        <v>528.25</v>
      </c>
      <c r="P85" s="10">
        <f t="shared" si="30"/>
        <v>13.263181505121075</v>
      </c>
      <c r="Q85" s="1"/>
      <c r="R85" s="10">
        <f t="shared" si="31"/>
        <v>39.865549999999999</v>
      </c>
      <c r="S85" s="10">
        <f t="shared" si="31"/>
        <v>2064.4732142857142</v>
      </c>
      <c r="T85" s="10">
        <f t="shared" si="31"/>
        <v>557.5</v>
      </c>
      <c r="U85" s="10">
        <f t="shared" si="31"/>
        <v>13.984585043664609</v>
      </c>
      <c r="V85" s="1"/>
      <c r="W85" s="10">
        <f t="shared" si="32"/>
        <v>9.2790951390871707E-2</v>
      </c>
      <c r="X85" s="10">
        <f t="shared" si="32"/>
        <v>-2.7034116663121412E-2</v>
      </c>
      <c r="Y85" s="10">
        <f t="shared" si="32"/>
        <v>5.5370693903149215</v>
      </c>
      <c r="Z85" s="10">
        <f t="shared" si="32"/>
        <v>5.4391857244192634</v>
      </c>
    </row>
    <row r="86" spans="2:26" x14ac:dyDescent="0.25">
      <c r="B86" s="4"/>
      <c r="C86" s="1" t="s">
        <v>4</v>
      </c>
      <c r="D86" s="1"/>
      <c r="E86" s="1">
        <f>128*2.1</f>
        <v>268.8</v>
      </c>
      <c r="F86" s="10">
        <f t="shared" si="33"/>
        <v>134.03300000000002</v>
      </c>
      <c r="G86" s="1">
        <v>4</v>
      </c>
      <c r="H86" s="1">
        <v>4</v>
      </c>
      <c r="I86" s="13">
        <f>(1*64*H86)/G86</f>
        <v>64</v>
      </c>
      <c r="J86" s="1"/>
      <c r="K86" s="9">
        <f>E86*304/1000</f>
        <v>81.715199999999996</v>
      </c>
      <c r="L86" s="1"/>
      <c r="M86" s="10">
        <f t="shared" si="30"/>
        <v>39.041550000000001</v>
      </c>
      <c r="N86" s="10">
        <f t="shared" si="30"/>
        <v>2027.5595238095239</v>
      </c>
      <c r="O86" s="10">
        <f t="shared" si="30"/>
        <v>734.97619047619048</v>
      </c>
      <c r="P86" s="10">
        <f t="shared" si="30"/>
        <v>18.825957740066823</v>
      </c>
      <c r="Q86" s="1"/>
      <c r="R86" s="10">
        <f t="shared" si="31"/>
        <v>39.207949999999997</v>
      </c>
      <c r="S86" s="10">
        <f t="shared" si="31"/>
        <v>2040.4430803571429</v>
      </c>
      <c r="T86" s="10">
        <f t="shared" si="31"/>
        <v>764.20535714285711</v>
      </c>
      <c r="U86" s="10">
        <f t="shared" si="31"/>
        <v>19.491387411620885</v>
      </c>
      <c r="V86" s="1"/>
      <c r="W86" s="10">
        <f t="shared" si="32"/>
        <v>0.42640621216596797</v>
      </c>
      <c r="X86" s="10">
        <f t="shared" si="32"/>
        <v>0.63570123577152815</v>
      </c>
      <c r="Y86" s="10">
        <f t="shared" si="32"/>
        <v>3.9751006504074402</v>
      </c>
      <c r="Z86" s="10">
        <f t="shared" si="32"/>
        <v>3.533622349956155</v>
      </c>
    </row>
    <row r="87" spans="2:26" x14ac:dyDescent="0.25">
      <c r="B87" s="4" t="s">
        <v>20</v>
      </c>
      <c r="C87" s="1" t="s">
        <v>25</v>
      </c>
      <c r="D87" s="1"/>
      <c r="E87" s="1">
        <f>4096*2.1</f>
        <v>8601.6</v>
      </c>
      <c r="F87" s="10">
        <v>8578.4500000000007</v>
      </c>
      <c r="G87" s="1">
        <v>16</v>
      </c>
      <c r="H87" s="1">
        <v>4</v>
      </c>
      <c r="I87" s="13">
        <f>2*16*16*32*H87/G87</f>
        <v>4096</v>
      </c>
      <c r="J87" s="1"/>
      <c r="K87" s="9">
        <f t="shared" ref="K87:K92" si="34">E87*304/1000</f>
        <v>2614.8863999999999</v>
      </c>
      <c r="L87" s="1"/>
      <c r="M87" s="10">
        <v>2455.8449999999998</v>
      </c>
      <c r="N87" s="10">
        <v>2000.1458333333333</v>
      </c>
      <c r="O87" s="10">
        <v>750</v>
      </c>
      <c r="P87" s="10">
        <v>0.3053939557380666</v>
      </c>
      <c r="Q87" s="10"/>
      <c r="R87" s="10">
        <v>2505.2249999999999</v>
      </c>
      <c r="S87" s="10">
        <v>2038.875</v>
      </c>
      <c r="T87" s="10">
        <v>786.85714285714289</v>
      </c>
      <c r="U87" s="10">
        <v>0.31408668147528651</v>
      </c>
      <c r="V87" s="1"/>
      <c r="W87" s="10">
        <f t="shared" si="16"/>
        <v>2.0107132168357578</v>
      </c>
      <c r="X87" s="10">
        <f t="shared" si="17"/>
        <v>1.9363171435416204</v>
      </c>
      <c r="Y87" s="10">
        <f t="shared" si="18"/>
        <v>4.914285714285719</v>
      </c>
      <c r="Z87" s="10">
        <f t="shared" si="19"/>
        <v>2.8463974397304623</v>
      </c>
    </row>
    <row r="88" spans="2:26" x14ac:dyDescent="0.25">
      <c r="B88" s="4"/>
      <c r="C88" s="1" t="s">
        <v>44</v>
      </c>
      <c r="D88" s="1"/>
      <c r="E88" s="1">
        <f>4096*2.1</f>
        <v>8601.6</v>
      </c>
      <c r="F88" s="10">
        <f>AVERAGE(F57,F58)</f>
        <v>8576.1625000000004</v>
      </c>
      <c r="G88" s="1">
        <v>16</v>
      </c>
      <c r="H88" s="1">
        <v>4</v>
      </c>
      <c r="I88" s="13">
        <f>2*16*16*32*H88/G88</f>
        <v>4096</v>
      </c>
      <c r="J88" s="1"/>
      <c r="K88" s="9">
        <f t="shared" si="34"/>
        <v>2614.8863999999999</v>
      </c>
      <c r="L88" s="1"/>
      <c r="M88" s="10">
        <f t="shared" ref="M88:P88" si="35">AVERAGE(M57,M58)</f>
        <v>2402.835</v>
      </c>
      <c r="N88" s="10">
        <f t="shared" si="35"/>
        <v>1956.0178571428573</v>
      </c>
      <c r="O88" s="10">
        <f t="shared" si="35"/>
        <v>749.14285714285711</v>
      </c>
      <c r="P88" s="10">
        <f t="shared" si="35"/>
        <v>0.31177492267085116</v>
      </c>
      <c r="Q88" s="10"/>
      <c r="R88" s="10">
        <f t="shared" ref="R88:U88" si="36">AVERAGE(R57,R58)</f>
        <v>2496.1624999999999</v>
      </c>
      <c r="S88" s="10">
        <f t="shared" si="36"/>
        <v>2032.7611607142858</v>
      </c>
      <c r="T88" s="10">
        <f t="shared" si="36"/>
        <v>823.375</v>
      </c>
      <c r="U88" s="10">
        <f t="shared" si="36"/>
        <v>0.32985613445347151</v>
      </c>
      <c r="V88" s="1"/>
      <c r="W88" s="10">
        <f t="shared" ref="W88:Z88" si="37">AVERAGE(W57,W58)</f>
        <v>3.884116927450779</v>
      </c>
      <c r="X88" s="10">
        <f t="shared" si="37"/>
        <v>3.923601556478455</v>
      </c>
      <c r="Y88" s="10">
        <f t="shared" si="37"/>
        <v>9.9102520045818991</v>
      </c>
      <c r="Z88" s="10">
        <f t="shared" si="37"/>
        <v>5.8016901095970663</v>
      </c>
    </row>
    <row r="89" spans="2:26" x14ac:dyDescent="0.25">
      <c r="B89" s="4"/>
      <c r="C89" s="1" t="s">
        <v>45</v>
      </c>
      <c r="D89" s="1"/>
      <c r="E89" s="1">
        <f>2048*2.1</f>
        <v>4300.8</v>
      </c>
      <c r="F89" s="10">
        <f>AVERAGE(F59,F60)</f>
        <v>4288.2875000000004</v>
      </c>
      <c r="G89" s="1">
        <v>16</v>
      </c>
      <c r="H89" s="1">
        <v>4</v>
      </c>
      <c r="I89" s="13">
        <f>2*16*16*16*H89/G89</f>
        <v>2048</v>
      </c>
      <c r="J89" s="1"/>
      <c r="K89" s="9">
        <f t="shared" si="34"/>
        <v>1307.4431999999999</v>
      </c>
      <c r="L89" s="1"/>
      <c r="M89" s="10">
        <f t="shared" ref="M89:P89" si="38">AVERAGE(M59,M60)</f>
        <v>1248.8687500000001</v>
      </c>
      <c r="N89" s="10">
        <f t="shared" si="38"/>
        <v>2032.1354166666665</v>
      </c>
      <c r="O89" s="10">
        <f t="shared" si="38"/>
        <v>738.25</v>
      </c>
      <c r="P89" s="10">
        <f t="shared" si="38"/>
        <v>0.59115350906810882</v>
      </c>
      <c r="Q89" s="10"/>
      <c r="R89" s="10">
        <f t="shared" ref="R89:U89" si="39">AVERAGE(R59,R60)</f>
        <v>1255.01125</v>
      </c>
      <c r="S89" s="10">
        <f t="shared" si="39"/>
        <v>2041.3314732142858</v>
      </c>
      <c r="T89" s="10">
        <f t="shared" si="39"/>
        <v>763.70535714285711</v>
      </c>
      <c r="U89" s="10">
        <f t="shared" si="39"/>
        <v>0.60852430271037417</v>
      </c>
      <c r="V89" s="1"/>
      <c r="W89" s="10">
        <f t="shared" ref="W89:Z89" si="40">AVERAGE(W59,W60)</f>
        <v>0.49246843042319155</v>
      </c>
      <c r="X89" s="10">
        <f t="shared" si="40"/>
        <v>0.45312374642537834</v>
      </c>
      <c r="Y89" s="10">
        <f t="shared" si="40"/>
        <v>3.4625945039004824</v>
      </c>
      <c r="Z89" s="10">
        <f t="shared" si="40"/>
        <v>2.9597610443884665</v>
      </c>
    </row>
    <row r="90" spans="2:26" x14ac:dyDescent="0.25">
      <c r="B90" s="4"/>
      <c r="C90" s="1" t="s">
        <v>24</v>
      </c>
      <c r="D90" s="1"/>
      <c r="E90" s="1">
        <f>1024*2.1</f>
        <v>2150.4</v>
      </c>
      <c r="F90" s="10">
        <v>2143.7600000000002</v>
      </c>
      <c r="G90" s="1">
        <v>16</v>
      </c>
      <c r="H90" s="1">
        <v>4</v>
      </c>
      <c r="I90" s="13">
        <f>2*16*16*8*H90/G90</f>
        <v>1024</v>
      </c>
      <c r="J90" s="1"/>
      <c r="K90" s="9">
        <f t="shared" si="34"/>
        <v>653.72159999999997</v>
      </c>
      <c r="L90" s="1"/>
      <c r="M90" s="10">
        <v>624.86</v>
      </c>
      <c r="N90" s="10">
        <v>2033.6785714285713</v>
      </c>
      <c r="O90" s="10">
        <v>739.14285714285711</v>
      </c>
      <c r="P90" s="10">
        <v>1.182894029745132</v>
      </c>
      <c r="Q90" s="10"/>
      <c r="R90" s="10">
        <v>628.04250000000002</v>
      </c>
      <c r="S90" s="10">
        <v>2042.1607142857142</v>
      </c>
      <c r="T90" s="10">
        <v>761.42857142857144</v>
      </c>
      <c r="U90" s="10">
        <v>1.2123829198718967</v>
      </c>
      <c r="V90" s="1"/>
      <c r="W90" s="10">
        <f t="shared" si="16"/>
        <v>0.50931408635534436</v>
      </c>
      <c r="X90" s="10">
        <f t="shared" si="17"/>
        <v>0.41708375041708534</v>
      </c>
      <c r="Y90" s="10">
        <f t="shared" si="18"/>
        <v>3.0150753768844289</v>
      </c>
      <c r="Z90" s="10">
        <f t="shared" si="19"/>
        <v>2.4929443707749894</v>
      </c>
    </row>
    <row r="91" spans="2:26" x14ac:dyDescent="0.25">
      <c r="B91" s="4"/>
      <c r="C91" s="1" t="s">
        <v>3</v>
      </c>
      <c r="D91" s="1"/>
      <c r="E91" s="1">
        <f>256*2.1</f>
        <v>537.6</v>
      </c>
      <c r="F91" s="10">
        <v>536.40750000000003</v>
      </c>
      <c r="G91" s="1">
        <v>32</v>
      </c>
      <c r="H91" s="1">
        <v>4</v>
      </c>
      <c r="I91" s="13">
        <f>2*16*16*4*H91/G91</f>
        <v>256</v>
      </c>
      <c r="J91" s="1"/>
      <c r="K91" s="9">
        <f t="shared" si="34"/>
        <v>163.43039999999999</v>
      </c>
      <c r="L91" s="1"/>
      <c r="M91" s="10">
        <v>159.34450000000001</v>
      </c>
      <c r="N91" s="10">
        <v>2065.5096153846152</v>
      </c>
      <c r="O91" s="10">
        <v>514.15384615384619</v>
      </c>
      <c r="P91" s="10">
        <v>3.2266755119355439</v>
      </c>
      <c r="Q91" s="10"/>
      <c r="R91" s="10">
        <v>159.66550000000001</v>
      </c>
      <c r="S91" s="10">
        <v>2068.1826923076924</v>
      </c>
      <c r="T91" s="10">
        <v>541.30769230769226</v>
      </c>
      <c r="U91" s="10">
        <v>3.3902629317491324</v>
      </c>
      <c r="V91" s="1"/>
      <c r="W91" s="10">
        <f t="shared" si="16"/>
        <v>0.20145031676650146</v>
      </c>
      <c r="X91" s="10">
        <f t="shared" si="17"/>
        <v>0.1294148864361197</v>
      </c>
      <c r="Y91" s="10">
        <f t="shared" si="18"/>
        <v>5.2812687013764057</v>
      </c>
      <c r="Z91" s="10">
        <f t="shared" si="19"/>
        <v>5.0698441540983907</v>
      </c>
    </row>
    <row r="92" spans="2:26" x14ac:dyDescent="0.25">
      <c r="B92" s="4"/>
      <c r="C92" s="1" t="s">
        <v>4</v>
      </c>
      <c r="D92" s="1"/>
      <c r="E92" s="1">
        <f>256*2.1</f>
        <v>537.6</v>
      </c>
      <c r="F92" s="10">
        <v>536.03250000000003</v>
      </c>
      <c r="G92" s="1">
        <v>32</v>
      </c>
      <c r="H92" s="1">
        <v>4</v>
      </c>
      <c r="I92" s="13">
        <f>2*16*16*4*H92/G92</f>
        <v>256</v>
      </c>
      <c r="J92" s="1"/>
      <c r="K92" s="9">
        <f t="shared" si="34"/>
        <v>163.43039999999999</v>
      </c>
      <c r="L92" s="1"/>
      <c r="M92" s="10">
        <v>157.96875</v>
      </c>
      <c r="N92" s="10">
        <v>2041.0865384615386</v>
      </c>
      <c r="O92" s="10">
        <v>635.84615384615381</v>
      </c>
      <c r="P92" s="10">
        <v>4.0251444822300018</v>
      </c>
      <c r="Q92" s="10"/>
      <c r="R92" s="10">
        <v>158.28649999999999</v>
      </c>
      <c r="S92" s="10">
        <v>2055.8660714285716</v>
      </c>
      <c r="T92" s="10">
        <v>656</v>
      </c>
      <c r="U92" s="10">
        <v>4.1082839452839153</v>
      </c>
      <c r="V92" s="1"/>
      <c r="W92" s="10">
        <f t="shared" si="16"/>
        <v>0.20114737883283215</v>
      </c>
      <c r="X92" s="10">
        <f t="shared" si="17"/>
        <v>0.7241012415952246</v>
      </c>
      <c r="Y92" s="10">
        <f t="shared" si="18"/>
        <v>3.1696104524558488</v>
      </c>
      <c r="Z92" s="10">
        <f t="shared" si="19"/>
        <v>2.0655025781298852</v>
      </c>
    </row>
  </sheetData>
  <mergeCells count="83">
    <mergeCell ref="B87:B92"/>
    <mergeCell ref="B75:B77"/>
    <mergeCell ref="B78:B80"/>
    <mergeCell ref="B81:B83"/>
    <mergeCell ref="B84:B86"/>
    <mergeCell ref="U70:U71"/>
    <mergeCell ref="W70:W71"/>
    <mergeCell ref="X70:X71"/>
    <mergeCell ref="Y70:Y71"/>
    <mergeCell ref="Z70:Z71"/>
    <mergeCell ref="B72:B74"/>
    <mergeCell ref="N70:N71"/>
    <mergeCell ref="O70:O71"/>
    <mergeCell ref="P70:P71"/>
    <mergeCell ref="R70:R71"/>
    <mergeCell ref="S70:S71"/>
    <mergeCell ref="T70:T71"/>
    <mergeCell ref="E69:H69"/>
    <mergeCell ref="K69:K71"/>
    <mergeCell ref="M69:P69"/>
    <mergeCell ref="R69:U69"/>
    <mergeCell ref="W69:Z69"/>
    <mergeCell ref="E70:F70"/>
    <mergeCell ref="G70:G71"/>
    <mergeCell ref="H70:H71"/>
    <mergeCell ref="I70:I71"/>
    <mergeCell ref="M70:M71"/>
    <mergeCell ref="B44:B46"/>
    <mergeCell ref="B50:B52"/>
    <mergeCell ref="B56:B63"/>
    <mergeCell ref="B41:B43"/>
    <mergeCell ref="B47:B49"/>
    <mergeCell ref="B53:B55"/>
    <mergeCell ref="W33:W34"/>
    <mergeCell ref="X33:X34"/>
    <mergeCell ref="Y33:Y34"/>
    <mergeCell ref="Z33:Z34"/>
    <mergeCell ref="B35:B37"/>
    <mergeCell ref="B38:B40"/>
    <mergeCell ref="O33:O34"/>
    <mergeCell ref="P33:P34"/>
    <mergeCell ref="R33:R34"/>
    <mergeCell ref="S33:S34"/>
    <mergeCell ref="T33:T34"/>
    <mergeCell ref="U33:U34"/>
    <mergeCell ref="E33:F33"/>
    <mergeCell ref="G33:G34"/>
    <mergeCell ref="H33:H34"/>
    <mergeCell ref="I33:I34"/>
    <mergeCell ref="M33:M34"/>
    <mergeCell ref="N33:N34"/>
    <mergeCell ref="W1:Z1"/>
    <mergeCell ref="W2:W3"/>
    <mergeCell ref="X2:X3"/>
    <mergeCell ref="Y2:Y3"/>
    <mergeCell ref="Z2:Z3"/>
    <mergeCell ref="E32:H32"/>
    <mergeCell ref="K32:K34"/>
    <mergeCell ref="M32:P32"/>
    <mergeCell ref="R32:U32"/>
    <mergeCell ref="W32:Z32"/>
    <mergeCell ref="A4:A15"/>
    <mergeCell ref="B16:B23"/>
    <mergeCell ref="G2:G3"/>
    <mergeCell ref="H2:H3"/>
    <mergeCell ref="I2:I3"/>
    <mergeCell ref="R1:U1"/>
    <mergeCell ref="S2:S3"/>
    <mergeCell ref="T2:T3"/>
    <mergeCell ref="U2:U3"/>
    <mergeCell ref="K1:K3"/>
    <mergeCell ref="M2:M3"/>
    <mergeCell ref="R2:R3"/>
    <mergeCell ref="N2:N3"/>
    <mergeCell ref="O2:O3"/>
    <mergeCell ref="P2:P3"/>
    <mergeCell ref="M1:P1"/>
    <mergeCell ref="B4:B6"/>
    <mergeCell ref="B7:B9"/>
    <mergeCell ref="B10:B12"/>
    <mergeCell ref="B13:B15"/>
    <mergeCell ref="E2:F2"/>
    <mergeCell ref="E1:H1"/>
  </mergeCells>
  <pageMargins left="0.7" right="0.7" top="0.75" bottom="0.75" header="0.3" footer="0.3"/>
  <pageSetup orientation="portrait" r:id="rId1"/>
  <headerFooter>
    <oddFooter>&amp;L_x000D_&amp;1#&amp;"Calibri"&amp;7&amp;K737373 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CEE2-F842-4458-8632-7064DD94F2F8}">
  <dimension ref="A1"/>
  <sheetViews>
    <sheetView workbookViewId="0">
      <selection activeCell="B1" sqref="B1:Z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Hanindhito, Bagus</dc:creator>
  <cp:lastModifiedBy>Hanindhito, Bagus</cp:lastModifiedBy>
  <dcterms:created xsi:type="dcterms:W3CDTF">2025-03-31T17:39:10Z</dcterms:created>
  <dcterms:modified xsi:type="dcterms:W3CDTF">2025-04-02T19:30:20Z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2025-03-31T19:07:43Z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c9b3cdd3-032e-41a6-876b-67939ffe326b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</Properties>
</file>